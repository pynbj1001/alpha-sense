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基本信息" sheetId="1" state="visible" r:id="rId1"/>
    <sheet xmlns:r="http://schemas.openxmlformats.org/officeDocument/2006/relationships" name="历史财务数据" sheetId="2" state="visible" r:id="rId2"/>
    <sheet xmlns:r="http://schemas.openxmlformats.org/officeDocument/2006/relationships" name="关键比率分析" sheetId="3" state="visible" r:id="rId3"/>
    <sheet xmlns:r="http://schemas.openxmlformats.org/officeDocument/2006/relationships" name="资产重置估算" sheetId="4" state="visible" r:id="rId4"/>
    <sheet xmlns:r="http://schemas.openxmlformats.org/officeDocument/2006/relationships" name="EPV输入准备" sheetId="5" state="visible" r:id="rId5"/>
    <sheet xmlns:r="http://schemas.openxmlformats.org/officeDocument/2006/relationships" name="AV计算" sheetId="6" state="visible" r:id="rId6"/>
    <sheet xmlns:r="http://schemas.openxmlformats.org/officeDocument/2006/relationships" name="EPV计算" sheetId="7" state="visible" r:id="rId7"/>
    <sheet xmlns:r="http://schemas.openxmlformats.org/officeDocument/2006/relationships" name="成长价值计算" sheetId="8" state="visible" r:id="rId8"/>
    <sheet xmlns:r="http://schemas.openxmlformats.org/officeDocument/2006/relationships" name="估值汇总" sheetId="9" state="visible" r:id="rId9"/>
    <sheet xmlns:r="http://schemas.openxmlformats.org/officeDocument/2006/relationships" name="护城河验证" sheetId="10" state="visible" r:id="rId10"/>
    <sheet xmlns:r="http://schemas.openxmlformats.org/officeDocument/2006/relationships" name="Kill-Switch检查" sheetId="11" state="visible" r:id="rId11"/>
    <sheet xmlns:r="http://schemas.openxmlformats.org/officeDocument/2006/relationships" name="三情景估值" sheetId="12" state="visible" r:id="rId12"/>
    <sheet xmlns:r="http://schemas.openxmlformats.org/officeDocument/2006/relationships" name="敏感性分析" sheetId="13" state="visible" r:id="rId13"/>
    <sheet xmlns:r="http://schemas.openxmlformats.org/officeDocument/2006/relationships" name="领先指标监控" sheetId="14" state="visible" r:id="rId14"/>
    <sheet xmlns:r="http://schemas.openxmlformats.org/officeDocument/2006/relationships" name="买方决策汇总" sheetId="15" state="visible" r:id="rId15"/>
    <sheet xmlns:r="http://schemas.openxmlformats.org/officeDocument/2006/relationships" name="三情景概率" sheetId="16" state="visible" r:id="rId16"/>
    <sheet xmlns:r="http://schemas.openxmlformats.org/officeDocument/2006/relationships" name="Tripwire监控" sheetId="17" state="visible" r:id="rId17"/>
    <sheet xmlns:r="http://schemas.openxmlformats.org/officeDocument/2006/relationships" name="可证伪条件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数据</t>
        </is>
      </c>
    </row>
    <row r="2">
      <c r="A2" t="inlineStr">
        <is>
          <t>股票代码</t>
        </is>
      </c>
      <c r="B2" t="inlineStr">
        <is>
          <t>UBER</t>
        </is>
      </c>
    </row>
    <row r="3">
      <c r="A3" t="inlineStr">
        <is>
          <t>交易所</t>
        </is>
      </c>
      <c r="B3" t="inlineStr">
        <is>
          <t>NYSE</t>
        </is>
      </c>
    </row>
    <row r="4">
      <c r="A4" t="inlineStr">
        <is>
          <t>成立年份</t>
        </is>
      </c>
      <c r="B4" t="inlineStr">
        <is>
          <t>2009</t>
        </is>
      </c>
    </row>
    <row r="5">
      <c r="A5" t="inlineStr">
        <is>
          <t>总部</t>
        </is>
      </c>
      <c r="B5" t="inlineStr">
        <is>
          <t>美国旧金山</t>
        </is>
      </c>
    </row>
    <row r="6">
      <c r="A6" t="inlineStr">
        <is>
          <t>员工数</t>
        </is>
      </c>
      <c r="B6" t="inlineStr">
        <is>
          <t>~30,000</t>
        </is>
      </c>
    </row>
    <row r="7">
      <c r="A7" t="inlineStr">
        <is>
          <t>主营业务</t>
        </is>
      </c>
      <c r="B7" t="inlineStr">
        <is>
          <t>共享出行/外卖/货运/自动驾驶</t>
        </is>
      </c>
    </row>
    <row r="8">
      <c r="A8" t="inlineStr">
        <is>
          <t>当前股价</t>
        </is>
      </c>
      <c r="B8" t="inlineStr">
        <is>
          <t>$70.72</t>
        </is>
      </c>
    </row>
    <row r="9">
      <c r="A9" t="inlineStr">
        <is>
          <t>市值(亿美元)</t>
        </is>
      </c>
      <c r="B9" t="inlineStr">
        <is>
          <t>145.6</t>
        </is>
      </c>
    </row>
    <row r="10">
      <c r="A10" t="inlineStr">
        <is>
          <t>企业价值(亿美元)</t>
        </is>
      </c>
      <c r="B10" t="inlineStr">
        <is>
          <t>151.9</t>
        </is>
      </c>
    </row>
    <row r="11">
      <c r="A11" t="inlineStr">
        <is>
          <t>稀释股本(亿股)</t>
        </is>
      </c>
      <c r="B11" t="inlineStr">
        <is>
          <t>2.058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收入($B)</t>
        </is>
      </c>
      <c r="B2" t="n">
        <v>17.46</v>
      </c>
      <c r="C2" t="n">
        <v>31.88</v>
      </c>
      <c r="D2" t="n">
        <v>37.28</v>
      </c>
      <c r="E2" t="n">
        <v>43.88</v>
      </c>
      <c r="F2" t="n">
        <v>51.98</v>
      </c>
    </row>
    <row r="3">
      <c r="A3" t="inlineStr">
        <is>
          <t>毛利($B)</t>
        </is>
      </c>
      <c r="B3" t="n">
        <v>4.19</v>
      </c>
      <c r="C3" t="n">
        <v>7.64</v>
      </c>
      <c r="D3" t="n">
        <v>8.779999999999999</v>
      </c>
      <c r="E3" t="n">
        <v>10.41</v>
      </c>
      <c r="F3" t="n">
        <v>12.77</v>
      </c>
    </row>
    <row r="4">
      <c r="A4" t="inlineStr">
        <is>
          <t>毛利率</t>
        </is>
      </c>
      <c r="B4" t="inlineStr">
        <is>
          <t>24.0%</t>
        </is>
      </c>
      <c r="C4" t="inlineStr">
        <is>
          <t>24.0%</t>
        </is>
      </c>
      <c r="D4" t="inlineStr">
        <is>
          <t>23.6%</t>
        </is>
      </c>
      <c r="E4" t="inlineStr">
        <is>
          <t>23.7%</t>
        </is>
      </c>
      <c r="F4" t="inlineStr">
        <is>
          <t>24.6%</t>
        </is>
      </c>
    </row>
    <row r="5">
      <c r="A5" t="inlineStr">
        <is>
          <t>EBIT($B)</t>
        </is>
      </c>
      <c r="B5" t="n">
        <v>-1.94</v>
      </c>
      <c r="C5" t="n">
        <v>-1.83</v>
      </c>
      <c r="D5" t="n">
        <v>1.11</v>
      </c>
      <c r="E5" t="n">
        <v>2.8</v>
      </c>
      <c r="F5" t="n">
        <v>5.57</v>
      </c>
    </row>
    <row r="6">
      <c r="A6" t="inlineStr">
        <is>
          <t>EBIT利润率</t>
        </is>
      </c>
      <c r="B6" t="inlineStr">
        <is>
          <t>-11.1%</t>
        </is>
      </c>
      <c r="C6" t="inlineStr">
        <is>
          <t>-5.7%</t>
        </is>
      </c>
      <c r="D6" t="inlineStr">
        <is>
          <t>3.0%</t>
        </is>
      </c>
      <c r="E6" t="inlineStr">
        <is>
          <t>6.4%</t>
        </is>
      </c>
      <c r="F6" t="inlineStr">
        <is>
          <t>10.7%</t>
        </is>
      </c>
    </row>
    <row r="7">
      <c r="A7" t="inlineStr">
        <is>
          <t>净利润($B)</t>
        </is>
      </c>
      <c r="B7" t="n">
        <v>-0.1</v>
      </c>
      <c r="C7" t="n">
        <v>9.27</v>
      </c>
      <c r="D7" t="n">
        <v>1.89</v>
      </c>
      <c r="E7" t="n">
        <v>9.859999999999999</v>
      </c>
      <c r="F7" t="n">
        <v>8.800000000000001</v>
      </c>
    </row>
    <row r="8">
      <c r="A8" t="inlineStr">
        <is>
          <t>经营现金流($B)</t>
        </is>
      </c>
      <c r="B8" t="n">
        <v>0.97</v>
      </c>
      <c r="C8" t="n">
        <v>4.32</v>
      </c>
      <c r="D8" t="n">
        <v>4.76</v>
      </c>
      <c r="E8" t="n">
        <v>6.16</v>
      </c>
      <c r="F8" t="n">
        <v>7.24</v>
      </c>
    </row>
    <row r="9">
      <c r="A9" t="inlineStr">
        <is>
          <t>自由现金流($B)</t>
        </is>
      </c>
      <c r="B9" t="n">
        <v>0.8100000000000001</v>
      </c>
      <c r="C9" t="n">
        <v>3.88</v>
      </c>
      <c r="D9" t="n">
        <v>4.23</v>
      </c>
      <c r="E9" t="n">
        <v>5.56</v>
      </c>
      <c r="F9" t="n">
        <v>6.34</v>
      </c>
    </row>
    <row r="10">
      <c r="A10" t="inlineStr">
        <is>
          <t>EPS(稀释)</t>
        </is>
      </c>
      <c r="B10" t="n">
        <v>-0.05</v>
      </c>
      <c r="C10" t="n">
        <v>4.51</v>
      </c>
      <c r="D10" t="n">
        <v>0.87</v>
      </c>
      <c r="E10" t="n">
        <v>4.65</v>
      </c>
      <c r="F10" t="n">
        <v>4.12</v>
      </c>
    </row>
    <row r="11">
      <c r="A11" t="inlineStr">
        <is>
          <t>D&amp;A($B)</t>
        </is>
      </c>
      <c r="B11" t="n">
        <v>0.45</v>
      </c>
      <c r="C11" t="n">
        <v>0.64</v>
      </c>
      <c r="D11" t="n">
        <v>0.74</v>
      </c>
      <c r="E11" t="n">
        <v>0.91</v>
      </c>
      <c r="F11" t="n">
        <v>1.12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比率类别</t>
        </is>
      </c>
      <c r="B1" s="1" t="inlineStr">
        <is>
          <t>指标名称</t>
        </is>
      </c>
      <c r="C1" s="1" t="inlineStr">
        <is>
          <t>FY2023</t>
        </is>
      </c>
      <c r="D1" s="1" t="inlineStr">
        <is>
          <t>FY2024</t>
        </is>
      </c>
      <c r="E1" s="1" t="inlineStr">
        <is>
          <t>FY2025</t>
        </is>
      </c>
      <c r="F1" s="1" t="inlineStr">
        <is>
          <t>趋势</t>
        </is>
      </c>
    </row>
    <row r="2">
      <c r="A2" t="inlineStr">
        <is>
          <t>盈利能力</t>
        </is>
      </c>
      <c r="B2" t="inlineStr">
        <is>
          <t>毛利率</t>
        </is>
      </c>
      <c r="C2" t="inlineStr">
        <is>
          <t>23.6%</t>
        </is>
      </c>
      <c r="D2" t="inlineStr">
        <is>
          <t>23.7%</t>
        </is>
      </c>
      <c r="E2" t="inlineStr">
        <is>
          <t>24.6%</t>
        </is>
      </c>
      <c r="F2" t="inlineStr">
        <is>
          <t>↑改善</t>
        </is>
      </c>
    </row>
    <row r="3">
      <c r="A3" t="inlineStr">
        <is>
          <t>盈利能力</t>
        </is>
      </c>
      <c r="B3" t="inlineStr">
        <is>
          <t>EBIT利润率</t>
        </is>
      </c>
      <c r="C3" t="inlineStr">
        <is>
          <t>3.0%</t>
        </is>
      </c>
      <c r="D3" t="inlineStr">
        <is>
          <t>6.4%</t>
        </is>
      </c>
      <c r="E3" t="inlineStr">
        <is>
          <t>10.7%</t>
        </is>
      </c>
      <c r="F3" t="inlineStr">
        <is>
          <t>↑改善</t>
        </is>
      </c>
    </row>
    <row r="4">
      <c r="A4" t="inlineStr">
        <is>
          <t>盈利能力</t>
        </is>
      </c>
      <c r="B4" t="inlineStr">
        <is>
          <t>净利润率</t>
        </is>
      </c>
      <c r="C4" t="inlineStr">
        <is>
          <t>5.1%</t>
        </is>
      </c>
      <c r="D4" t="inlineStr">
        <is>
          <t>22.5%</t>
        </is>
      </c>
      <c r="E4" t="inlineStr">
        <is>
          <t>16.9%</t>
        </is>
      </c>
      <c r="F4" t="inlineStr">
        <is>
          <t>↑改善</t>
        </is>
      </c>
    </row>
    <row r="5">
      <c r="A5" t="inlineStr">
        <is>
          <t>盈利能力</t>
        </is>
      </c>
      <c r="B5" t="inlineStr">
        <is>
          <t>ROE</t>
        </is>
      </c>
      <c r="C5" t="inlineStr">
        <is>
          <t>12.8%</t>
        </is>
      </c>
      <c r="D5" t="inlineStr">
        <is>
          <t>52.7%</t>
        </is>
      </c>
      <c r="E5" t="inlineStr">
        <is>
          <t>37.5%</t>
        </is>
      </c>
      <c r="F5" t="inlineStr">
        <is>
          <t>↑改善</t>
        </is>
      </c>
    </row>
    <row r="6">
      <c r="A6" t="inlineStr">
        <is>
          <t>盈利能力</t>
        </is>
      </c>
      <c r="B6" t="inlineStr">
        <is>
          <t>ROIC</t>
        </is>
      </c>
      <c r="C6" t="inlineStr">
        <is>
          <t>8.2%</t>
        </is>
      </c>
      <c r="D6" t="inlineStr">
        <is>
          <t>28.6%</t>
        </is>
      </c>
      <c r="E6" t="inlineStr">
        <is>
          <t>62.6%</t>
        </is>
      </c>
      <c r="F6" t="inlineStr">
        <is>
          <t>↑改善</t>
        </is>
      </c>
    </row>
    <row r="7">
      <c r="A7" t="inlineStr">
        <is>
          <t>运营效率</t>
        </is>
      </c>
      <c r="B7" t="inlineStr">
        <is>
          <t>费用率(SG&amp;A/收入)</t>
        </is>
      </c>
      <c r="C7" t="inlineStr">
        <is>
          <t>15.2%</t>
        </is>
      </c>
      <c r="D7" t="inlineStr">
        <is>
          <t>12.5%</t>
        </is>
      </c>
      <c r="E7" t="inlineStr">
        <is>
          <t>10.4%</t>
        </is>
      </c>
      <c r="F7" t="inlineStr">
        <is>
          <t>↓优化</t>
        </is>
      </c>
    </row>
    <row r="8">
      <c r="A8" t="inlineStr">
        <is>
          <t>运营效率</t>
        </is>
      </c>
      <c r="B8" t="inlineStr">
        <is>
          <t>费用率(R&amp;D/收入)</t>
        </is>
      </c>
      <c r="C8" t="inlineStr">
        <is>
          <t>4.8%</t>
        </is>
      </c>
      <c r="D8" t="inlineStr">
        <is>
          <t>4.5%</t>
        </is>
      </c>
      <c r="E8" t="inlineStr">
        <is>
          <t>4.1%</t>
        </is>
      </c>
      <c r="F8" t="inlineStr">
        <is>
          <t>↓优化</t>
        </is>
      </c>
    </row>
    <row r="9">
      <c r="A9" t="inlineStr">
        <is>
          <t>资本效率</t>
        </is>
      </c>
      <c r="B9" t="inlineStr">
        <is>
          <t>资产周转率</t>
        </is>
      </c>
      <c r="C9" t="inlineStr">
        <is>
          <t>1.35x</t>
        </is>
      </c>
      <c r="D9" t="inlineStr">
        <is>
          <t>1.42x</t>
        </is>
      </c>
      <c r="E9" t="inlineStr">
        <is>
          <t>1.49x</t>
        </is>
      </c>
      <c r="F9" t="inlineStr">
        <is>
          <t>↑改善</t>
        </is>
      </c>
    </row>
    <row r="10">
      <c r="A10" t="inlineStr">
        <is>
          <t>资本效率</t>
        </is>
      </c>
      <c r="B10" t="inlineStr">
        <is>
          <t>固定资产周转率</t>
        </is>
      </c>
      <c r="C10" t="inlineStr">
        <is>
          <t>20.7x</t>
        </is>
      </c>
      <c r="D10" t="inlineStr">
        <is>
          <t>24.4x</t>
        </is>
      </c>
      <c r="E10" t="inlineStr">
        <is>
          <t>28.9x</t>
        </is>
      </c>
      <c r="F10" t="inlineStr">
        <is>
          <t>↑改善</t>
        </is>
      </c>
    </row>
    <row r="11">
      <c r="A11" t="inlineStr">
        <is>
          <t>现金流</t>
        </is>
      </c>
      <c r="B11" t="inlineStr">
        <is>
          <t>FCF/净利润</t>
        </is>
      </c>
      <c r="C11" t="inlineStr">
        <is>
          <t>223.8%</t>
        </is>
      </c>
      <c r="D11" t="inlineStr">
        <is>
          <t>56.4%</t>
        </is>
      </c>
      <c r="E11" t="inlineStr">
        <is>
          <t>72.0%</t>
        </is>
      </c>
      <c r="F11" t="inlineStr">
        <is>
          <t>↑改善</t>
        </is>
      </c>
    </row>
    <row r="12">
      <c r="A12" t="inlineStr">
        <is>
          <t>现金流</t>
        </is>
      </c>
      <c r="B12" t="inlineStr">
        <is>
          <t>FCF/收入</t>
        </is>
      </c>
      <c r="C12" t="inlineStr">
        <is>
          <t>11.3%</t>
        </is>
      </c>
      <c r="D12" t="inlineStr">
        <is>
          <t>12.7%</t>
        </is>
      </c>
      <c r="E12" t="inlineStr">
        <is>
          <t>12.2%</t>
        </is>
      </c>
      <c r="F12" t="inlineStr">
        <is>
          <t>↑改善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资产科目</t>
        </is>
      </c>
      <c r="B1" s="1" t="inlineStr">
        <is>
          <t>账面值($B)</t>
        </is>
      </c>
      <c r="C1" s="1" t="inlineStr">
        <is>
          <t>调整系数</t>
        </is>
      </c>
      <c r="D1" s="1" t="inlineStr">
        <is>
          <t>重置价值($B)</t>
        </is>
      </c>
    </row>
    <row r="2">
      <c r="A2" t="inlineStr">
        <is>
          <t>货币资金</t>
        </is>
      </c>
      <c r="B2" t="n">
        <v>7.63</v>
      </c>
      <c r="C2" t="n">
        <v>0.1</v>
      </c>
      <c r="D2" t="n">
        <v>0.78</v>
      </c>
    </row>
    <row r="3">
      <c r="A3" t="inlineStr">
        <is>
          <t>应收账款</t>
        </is>
      </c>
      <c r="B3" t="n">
        <v>3.89</v>
      </c>
      <c r="C3" t="n">
        <v>0.95</v>
      </c>
      <c r="D3" t="n">
        <v>3.7</v>
      </c>
    </row>
    <row r="4">
      <c r="A4" t="inlineStr">
        <is>
          <t>存货</t>
        </is>
      </c>
      <c r="B4" t="n">
        <v>0.14</v>
      </c>
      <c r="C4" t="n">
        <v>1</v>
      </c>
      <c r="D4" t="n">
        <v>0.14</v>
      </c>
    </row>
    <row r="5">
      <c r="A5" t="inlineStr">
        <is>
          <t>预付账款</t>
        </is>
      </c>
      <c r="B5" t="n">
        <v>0.89</v>
      </c>
      <c r="C5" t="n">
        <v>1</v>
      </c>
      <c r="D5" t="n">
        <v>0.89</v>
      </c>
    </row>
    <row r="6">
      <c r="A6" t="inlineStr">
        <is>
          <t>其他流动资产</t>
        </is>
      </c>
      <c r="B6" t="n">
        <v>0.55</v>
      </c>
      <c r="C6" t="n">
        <v>1</v>
      </c>
      <c r="D6" t="n">
        <v>0.55</v>
      </c>
    </row>
    <row r="7">
      <c r="A7" t="inlineStr">
        <is>
          <t>流动资产小计</t>
        </is>
      </c>
      <c r="B7" t="n">
        <v>13.1</v>
      </c>
      <c r="C7" t="inlineStr">
        <is>
          <t>-</t>
        </is>
      </c>
      <c r="D7" t="n">
        <v>6.06</v>
      </c>
    </row>
    <row r="8">
      <c r="A8" t="inlineStr">
        <is>
          <t>固定资产净值</t>
        </is>
      </c>
      <c r="B8" t="n">
        <v>1.8</v>
      </c>
      <c r="C8" t="n">
        <v>1.39</v>
      </c>
      <c r="D8" t="n">
        <v>2.5</v>
      </c>
    </row>
    <row r="9">
      <c r="A9" t="inlineStr">
        <is>
          <t>无形资产(可重建)</t>
        </is>
      </c>
      <c r="B9" t="n">
        <v>2.85</v>
      </c>
      <c r="C9" t="n">
        <v>1.58</v>
      </c>
      <c r="D9" t="n">
        <v>4.5</v>
      </c>
    </row>
    <row r="10">
      <c r="A10" t="inlineStr">
        <is>
          <t>商誉</t>
        </is>
      </c>
      <c r="B10" t="n">
        <v>2.25</v>
      </c>
      <c r="C10" t="n">
        <v>1</v>
      </c>
      <c r="D10" t="n">
        <v>2.25</v>
      </c>
    </row>
    <row r="11">
      <c r="A11" t="inlineStr">
        <is>
          <t>资产重置总值</t>
        </is>
      </c>
      <c r="B11" t="n">
        <v>17.75</v>
      </c>
      <c r="C11" t="inlineStr">
        <is>
          <t>-</t>
        </is>
      </c>
      <c r="D11" t="n">
        <v>11.62</v>
      </c>
    </row>
    <row r="12">
      <c r="A12" t="inlineStr">
        <is>
          <t>(-)运营性负债</t>
        </is>
      </c>
      <c r="B12" t="n">
        <v>4.46</v>
      </c>
      <c r="C12" t="n">
        <v>1</v>
      </c>
      <c r="D12" t="n">
        <v>4.46</v>
      </c>
    </row>
    <row r="13">
      <c r="A13" t="inlineStr">
        <is>
          <t>(-)有息债务</t>
        </is>
      </c>
      <c r="B13" t="n">
        <v>6.3</v>
      </c>
      <c r="C13" t="n">
        <v>1</v>
      </c>
      <c r="D13" t="n">
        <v>6.3</v>
      </c>
    </row>
    <row r="14">
      <c r="A14">
        <f> 企业AV</f>
        <v/>
      </c>
      <c r="B14" t="n">
        <v>6.99</v>
      </c>
      <c r="C14" t="inlineStr">
        <is>
          <t>-</t>
        </is>
      </c>
      <c r="D14" t="n">
        <v>0.86</v>
      </c>
    </row>
    <row r="15">
      <c r="A15" t="inlineStr">
        <is>
          <t>(+)超额现金</t>
        </is>
      </c>
      <c r="B15" t="n">
        <v>6.85</v>
      </c>
      <c r="C15" t="inlineStr">
        <is>
          <t>-</t>
        </is>
      </c>
      <c r="D15" t="n">
        <v>6.85</v>
      </c>
    </row>
    <row r="16">
      <c r="A16">
        <f> 股权AV</f>
        <v/>
      </c>
      <c r="B16" t="n">
        <v>13.84</v>
      </c>
      <c r="C16" t="inlineStr">
        <is>
          <t>-</t>
        </is>
      </c>
      <c r="D16" t="n">
        <v>7.71</v>
      </c>
    </row>
    <row r="17">
      <c r="A17" t="inlineStr">
        <is>
          <t>÷稀释股本(亿股)</t>
        </is>
      </c>
      <c r="B17" t="n">
        <v>2.058</v>
      </c>
      <c r="C17" t="inlineStr">
        <is>
          <t>-</t>
        </is>
      </c>
      <c r="D17" t="n">
        <v>2.058</v>
      </c>
    </row>
    <row r="18">
      <c r="A18">
        <f> AV每股(基准)</f>
        <v/>
      </c>
      <c r="B18" t="n">
        <v>6.73</v>
      </c>
      <c r="C18" t="inlineStr">
        <is>
          <t>-</t>
        </is>
      </c>
      <c r="D18" t="n">
        <v>3.75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计算步骤</t>
        </is>
      </c>
      <c r="B1" s="1" t="inlineStr">
        <is>
          <t>金额($B)</t>
        </is>
      </c>
      <c r="C1" s="1" t="inlineStr">
        <is>
          <t>说明</t>
        </is>
      </c>
    </row>
    <row r="2">
      <c r="A2" t="inlineStr">
        <is>
          <t>Step 1: 报告EBIT(FY2025)</t>
        </is>
      </c>
      <c r="B2" t="n">
        <v>5.57</v>
      </c>
      <c r="C2" t="inlineStr">
        <is>
          <t>报告值</t>
        </is>
      </c>
    </row>
    <row r="3">
      <c r="A3" t="inlineStr">
        <is>
          <t>Step 2: 一次性损益调整</t>
        </is>
      </c>
      <c r="B3" t="n">
        <v>4.48</v>
      </c>
      <c r="C3" t="inlineStr">
        <is>
          <t>投资收益+重组费用等</t>
        </is>
      </c>
    </row>
    <row r="4">
      <c r="A4" t="inlineStr">
        <is>
          <t>Step 3: 调整后EBIT</t>
        </is>
      </c>
      <c r="B4" t="n">
        <v>5.57</v>
      </c>
      <c r="C4" t="inlineStr">
        <is>
          <t>实际经营利润</t>
        </is>
      </c>
    </row>
    <row r="5">
      <c r="A5" t="inlineStr">
        <is>
          <t>Step 4: SG&amp;A加回(25%)</t>
        </is>
      </c>
      <c r="B5" t="n">
        <v>2.05</v>
      </c>
      <c r="C5" t="inlineStr">
        <is>
          <t>市场拓展费用可节约</t>
        </is>
      </c>
    </row>
    <row r="6">
      <c r="A6" t="inlineStr">
        <is>
          <t>Step 5: R&amp;D加回(25%)</t>
        </is>
      </c>
      <c r="B6" t="n">
        <v>0.86</v>
      </c>
      <c r="C6" t="inlineStr">
        <is>
          <t>前沿研发费用可节约</t>
        </is>
      </c>
    </row>
    <row r="7">
      <c r="A7" t="inlineStr">
        <is>
          <t>Step 6: 零增长调整后EBIT</t>
        </is>
      </c>
      <c r="B7" t="n">
        <v>8.48</v>
      </c>
      <c r="C7" t="inlineStr">
        <is>
          <t>零增长假设下EBIT</t>
        </is>
      </c>
    </row>
    <row r="8">
      <c r="A8" t="inlineStr">
        <is>
          <t>Step 7: 有效税率21%</t>
        </is>
      </c>
      <c r="B8" t="n">
        <v>1.78</v>
      </c>
      <c r="C8" t="inlineStr">
        <is>
          <t>实际有效税率</t>
        </is>
      </c>
    </row>
    <row r="9">
      <c r="A9" t="inlineStr">
        <is>
          <t>Step 8: 税后NOPAT</t>
        </is>
      </c>
      <c r="B9" t="n">
        <v>6.7</v>
      </c>
      <c r="C9" t="inlineStr">
        <is>
          <t>税后经营利润</t>
        </is>
      </c>
    </row>
    <row r="10">
      <c r="A10" t="inlineStr">
        <is>
          <t>Step 9: 维护性CAPEX</t>
        </is>
      </c>
      <c r="B10" t="n">
        <v>0.27</v>
      </c>
      <c r="C10" t="inlineStr">
        <is>
          <t>仅维护性资本支出</t>
        </is>
      </c>
    </row>
    <row r="11">
      <c r="A11" t="inlineStr">
        <is>
          <t>Step 10: 净持续盈利</t>
        </is>
      </c>
      <c r="B11" t="n">
        <v>6.43</v>
      </c>
      <c r="C11" t="inlineStr">
        <is>
          <t>EPV折现分子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计算逻辑</t>
        </is>
      </c>
      <c r="C1" s="1" t="inlineStr">
        <is>
          <t>AV每股</t>
        </is>
      </c>
      <c r="D1" s="1" t="inlineStr">
        <is>
          <t>适用场景</t>
        </is>
      </c>
    </row>
    <row r="2">
      <c r="A2" t="inlineStr">
        <is>
          <t>悲观AV(清算折扣)</t>
        </is>
      </c>
      <c r="B2" t="inlineStr">
        <is>
          <t>流动资产×80%，固定资产×50%</t>
        </is>
      </c>
      <c r="C2" t="inlineStr">
        <is>
          <t>$2.15</t>
        </is>
      </c>
      <c r="D2" t="inlineStr">
        <is>
          <t>行业衰退/平台解体</t>
        </is>
      </c>
    </row>
    <row r="3">
      <c r="A3" t="inlineStr">
        <is>
          <t>基准AV(重置成本)</t>
        </is>
      </c>
      <c r="B3" t="inlineStr">
        <is>
          <t>重置成本法，资产重置总值$11.62B</t>
        </is>
      </c>
      <c r="C3" t="inlineStr">
        <is>
          <t>$3.75</t>
        </is>
      </c>
      <c r="D3" t="inlineStr">
        <is>
          <t>正常竞争分析</t>
        </is>
      </c>
    </row>
    <row r="4">
      <c r="A4" t="inlineStr">
        <is>
          <t>乐观AV(含无形资产)</t>
        </is>
      </c>
      <c r="B4" t="inlineStr">
        <is>
          <t>含品牌/数据资产全额重建</t>
        </is>
      </c>
      <c r="C4" t="inlineStr">
        <is>
          <t>$5.20</t>
        </is>
      </c>
      <c r="D4" t="inlineStr">
        <is>
          <t>品牌价值显著场景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WACC情景</t>
        </is>
      </c>
      <c r="B1" s="1" t="inlineStr">
        <is>
          <t>净持续盈利($B)</t>
        </is>
      </c>
      <c r="C1" s="1" t="inlineStr">
        <is>
          <t>÷ WACC</t>
        </is>
      </c>
      <c r="D1" s="1" t="inlineStr">
        <is>
          <t>EPV企业价值($B)</t>
        </is>
      </c>
      <c r="E1" s="1" t="inlineStr">
        <is>
          <t>(+)超额现金($B)</t>
        </is>
      </c>
      <c r="F1" s="1" t="inlineStr">
        <is>
          <t>(-)有息债务($B)</t>
        </is>
      </c>
      <c r="G1" s="1">
        <f> EPV股权($B)</f>
        <v/>
      </c>
      <c r="H1" s="1" t="inlineStr">
        <is>
          <t>÷稀释股本(亿股)</t>
        </is>
      </c>
      <c r="I1" s="1" t="inlineStr">
        <is>
          <t>EPV每股</t>
        </is>
      </c>
    </row>
    <row r="2">
      <c r="A2" t="inlineStr">
        <is>
          <t>乐观(8%)</t>
        </is>
      </c>
      <c r="B2" t="n">
        <v>6.43</v>
      </c>
      <c r="C2" t="inlineStr">
        <is>
          <t>÷0.08</t>
        </is>
      </c>
      <c r="D2" t="n">
        <v>80.40000000000001</v>
      </c>
      <c r="E2" t="n">
        <v>6.85</v>
      </c>
      <c r="F2" t="n">
        <v>6.3</v>
      </c>
      <c r="G2" t="n">
        <v>80.90000000000001</v>
      </c>
      <c r="H2" t="n">
        <v>2.058</v>
      </c>
      <c r="I2" t="inlineStr">
        <is>
          <t>$39.3</t>
        </is>
      </c>
    </row>
    <row r="3">
      <c r="A3" t="inlineStr">
        <is>
          <t>基准(9%)</t>
        </is>
      </c>
      <c r="B3" t="n">
        <v>6.43</v>
      </c>
      <c r="C3" t="inlineStr">
        <is>
          <t>÷0.09</t>
        </is>
      </c>
      <c r="D3" t="n">
        <v>71.40000000000001</v>
      </c>
      <c r="E3" t="n">
        <v>6.85</v>
      </c>
      <c r="F3" t="n">
        <v>6.3</v>
      </c>
      <c r="G3" t="n">
        <v>72</v>
      </c>
      <c r="H3" t="n">
        <v>2.058</v>
      </c>
      <c r="I3" t="inlineStr">
        <is>
          <t>$35.0</t>
        </is>
      </c>
    </row>
    <row r="4">
      <c r="A4" t="inlineStr">
        <is>
          <t>保守(11%)</t>
        </is>
      </c>
      <c r="B4" t="n">
        <v>6.43</v>
      </c>
      <c r="C4" t="inlineStr">
        <is>
          <t>÷0.11</t>
        </is>
      </c>
      <c r="D4" t="n">
        <v>58.5</v>
      </c>
      <c r="E4" t="n">
        <v>6.85</v>
      </c>
      <c r="F4" t="n">
        <v>6.3</v>
      </c>
      <c r="G4" t="n">
        <v>59</v>
      </c>
      <c r="H4" t="n">
        <v>2.058</v>
      </c>
      <c r="I4" t="inlineStr">
        <is>
          <t>$28.7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护城河期</t>
        </is>
      </c>
      <c r="C1" s="1" t="inlineStr">
        <is>
          <t>有效增长率g_eff</t>
        </is>
      </c>
      <c r="D1" s="1" t="inlineStr">
        <is>
          <t>VCF</t>
        </is>
      </c>
      <c r="E1" s="1" t="inlineStr">
        <is>
          <t>价值创造因子</t>
        </is>
      </c>
      <c r="F1" s="1" t="inlineStr">
        <is>
          <t>GV每股附加</t>
        </is>
      </c>
      <c r="G1" s="1" t="inlineStr">
        <is>
          <t>含GV总价值</t>
        </is>
      </c>
    </row>
    <row r="2">
      <c r="A2" t="inlineStr">
        <is>
          <t>悲观</t>
        </is>
      </c>
      <c r="B2" t="inlineStr">
        <is>
          <t>3年</t>
        </is>
      </c>
      <c r="C2" t="inlineStr">
        <is>
          <t>4%</t>
        </is>
      </c>
      <c r="D2" t="inlineStr">
        <is>
          <t>3.0x</t>
        </is>
      </c>
      <c r="E2" t="n">
        <v>1.2</v>
      </c>
      <c r="F2" t="inlineStr">
        <is>
          <t>$14.2</t>
        </is>
      </c>
      <c r="G2" t="inlineStr">
        <is>
          <t>$49.2</t>
        </is>
      </c>
    </row>
    <row r="3">
      <c r="A3" t="inlineStr">
        <is>
          <t>基准</t>
        </is>
      </c>
      <c r="B3" t="inlineStr">
        <is>
          <t>7年</t>
        </is>
      </c>
      <c r="C3" t="inlineStr">
        <is>
          <t>8%</t>
        </is>
      </c>
      <c r="D3" t="inlineStr">
        <is>
          <t>3.0x</t>
        </is>
      </c>
      <c r="E3" t="n">
        <v>1.5</v>
      </c>
      <c r="F3" t="inlineStr">
        <is>
          <t>$42.0</t>
        </is>
      </c>
      <c r="G3" t="inlineStr">
        <is>
          <t>$77.0</t>
        </is>
      </c>
    </row>
    <row r="4">
      <c r="A4" t="inlineStr">
        <is>
          <t>乐观</t>
        </is>
      </c>
      <c r="B4" t="inlineStr">
        <is>
          <t>10年</t>
        </is>
      </c>
      <c r="C4" t="inlineStr">
        <is>
          <t>12%</t>
        </is>
      </c>
      <c r="D4" t="inlineStr">
        <is>
          <t>3.0x</t>
        </is>
      </c>
      <c r="E4" t="n">
        <v>1.8</v>
      </c>
      <c r="F4" t="inlineStr">
        <is>
          <t>$118.4</t>
        </is>
      </c>
      <c r="G4" t="inlineStr">
        <is>
          <t>$153.4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估值维度</t>
        </is>
      </c>
      <c r="B1" s="1" t="inlineStr">
        <is>
          <t>悲观</t>
        </is>
      </c>
      <c r="C1" s="1" t="inlineStr">
        <is>
          <t>基准</t>
        </is>
      </c>
      <c r="D1" s="1" t="inlineStr">
        <is>
          <t>乐观</t>
        </is>
      </c>
      <c r="E1" s="1" t="inlineStr">
        <is>
          <t>备注</t>
        </is>
      </c>
    </row>
    <row r="2">
      <c r="A2" t="inlineStr">
        <is>
          <t>资产价值(AV)</t>
        </is>
      </c>
      <c r="B2" t="inlineStr">
        <is>
          <t>$2.15</t>
        </is>
      </c>
      <c r="C2" t="inlineStr">
        <is>
          <t>$3.75</t>
        </is>
      </c>
      <c r="D2" t="inlineStr">
        <is>
          <t>$5.20</t>
        </is>
      </c>
      <c r="E2" t="inlineStr">
        <is>
          <t>平台轻资产特性</t>
        </is>
      </c>
    </row>
    <row r="3">
      <c r="A3" t="inlineStr">
        <is>
          <t>盈利能力价值(EPV)</t>
        </is>
      </c>
      <c r="B3" t="inlineStr">
        <is>
          <t>$28.7</t>
        </is>
      </c>
      <c r="C3" t="inlineStr">
        <is>
          <t>$35.0</t>
        </is>
      </c>
      <c r="D3" t="inlineStr">
        <is>
          <t>$39.3</t>
        </is>
      </c>
      <c r="E3" t="inlineStr">
        <is>
          <t>零增长假设WACC 8-11%</t>
        </is>
      </c>
    </row>
    <row r="4">
      <c r="A4" t="inlineStr">
        <is>
          <t>成长价值(GV附加)</t>
        </is>
      </c>
      <c r="B4" t="inlineStr">
        <is>
          <t>$14.2</t>
        </is>
      </c>
      <c r="C4" t="inlineStr">
        <is>
          <t>$42.0</t>
        </is>
      </c>
      <c r="D4" t="inlineStr">
        <is>
          <t>$118.4</t>
        </is>
      </c>
      <c r="E4" t="inlineStr">
        <is>
          <t>护城河期3-10年</t>
        </is>
      </c>
    </row>
    <row r="5">
      <c r="A5" t="inlineStr">
        <is>
          <t>综合内在价值</t>
        </is>
      </c>
      <c r="B5" t="inlineStr">
        <is>
          <t>$49.2</t>
        </is>
      </c>
      <c r="C5" t="inlineStr">
        <is>
          <t>$77.0</t>
        </is>
      </c>
      <c r="D5" t="inlineStr">
        <is>
          <t>$153.4</t>
        </is>
      </c>
      <c r="E5" t="inlineStr">
        <is>
          <t>加权平均</t>
        </is>
      </c>
    </row>
    <row r="6">
      <c r="A6" t="inlineStr">
        <is>
          <t>当前股价</t>
        </is>
      </c>
      <c r="B6" t="inlineStr">
        <is>
          <t>$70.72</t>
        </is>
      </c>
      <c r="C6" t="inlineStr">
        <is>
          <t>$70.72</t>
        </is>
      </c>
      <c r="D6" t="inlineStr">
        <is>
          <t>$70.72</t>
        </is>
      </c>
      <c r="E6" t="inlineStr">
        <is>
          <t>2026-02-26</t>
        </is>
      </c>
    </row>
    <row r="7">
      <c r="A7" t="inlineStr">
        <is>
          <t>安全边际</t>
        </is>
      </c>
      <c r="B7" t="inlineStr">
        <is>
          <t>-30%</t>
        </is>
      </c>
      <c r="C7" t="inlineStr">
        <is>
          <t>+9%</t>
        </is>
      </c>
      <c r="D7" t="inlineStr">
        <is>
          <t>+117%</t>
        </is>
      </c>
      <c r="E7" t="inlineStr">
        <is>
          <t>基准情景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验证维度</t>
        </is>
      </c>
      <c r="B1" s="1" t="inlineStr">
        <is>
          <t>方法</t>
        </is>
      </c>
      <c r="C1" s="1" t="inlineStr">
        <is>
          <t>结果</t>
        </is>
      </c>
      <c r="D1" s="1" t="inlineStr">
        <is>
          <t>阈值</t>
        </is>
      </c>
      <c r="E1" s="1" t="inlineStr">
        <is>
          <t>判定</t>
        </is>
      </c>
    </row>
    <row r="2">
      <c r="A2" t="inlineStr">
        <is>
          <t>ROIC-WACC利差</t>
        </is>
      </c>
      <c r="B2" t="inlineStr">
        <is>
          <t>方法A: ROIC利差法</t>
        </is>
      </c>
      <c r="C2" t="inlineStr">
        <is>
          <t>53.6pp</t>
        </is>
      </c>
      <c r="D2" t="inlineStr">
        <is>
          <t>≥10pp</t>
        </is>
      </c>
      <c r="E2" t="inlineStr">
        <is>
          <t>✅ 宽护城河</t>
        </is>
      </c>
    </row>
    <row r="3">
      <c r="A3" t="inlineStr">
        <is>
          <t>临界市占率</t>
        </is>
      </c>
      <c r="B3" t="inlineStr">
        <is>
          <t>方法B: 临界市占率法</t>
        </is>
      </c>
      <c r="C3" t="inlineStr">
        <is>
          <t>25-30%</t>
        </is>
      </c>
      <c r="D3" t="inlineStr">
        <is>
          <t>&gt;30%</t>
        </is>
      </c>
      <c r="E3" t="inlineStr">
        <is>
          <t>✅ 接近宽护城河</t>
        </is>
      </c>
    </row>
    <row r="4">
      <c r="A4" t="inlineStr">
        <is>
          <t>EPV/AV比值</t>
        </is>
      </c>
      <c r="B4" t="inlineStr">
        <is>
          <t>方法A衍生</t>
        </is>
      </c>
      <c r="C4" t="inlineStr">
        <is>
          <t>9.3x</t>
        </is>
      </c>
      <c r="D4" t="inlineStr">
        <is>
          <t>≥2.0x</t>
        </is>
      </c>
      <c r="E4" t="inlineStr">
        <is>
          <t>✅ 宽护城河</t>
        </is>
      </c>
    </row>
    <row r="5">
      <c r="A5" t="inlineStr">
        <is>
          <t>网络效应</t>
        </is>
      </c>
      <c r="B5" t="inlineStr">
        <is>
          <t>方法C: 网络效应量化</t>
        </is>
      </c>
      <c r="C5" t="inlineStr">
        <is>
          <t>3x司机密度领先</t>
        </is>
      </c>
      <c r="D5" t="inlineStr">
        <is>
          <t>—</t>
        </is>
      </c>
      <c r="E5" t="inlineStr">
        <is>
          <t>✅ 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KS项</t>
        </is>
      </c>
      <c r="B1" s="1" t="inlineStr">
        <is>
          <t>结果</t>
        </is>
      </c>
      <c r="C1" s="1" t="inlineStr">
        <is>
          <t>关键数据</t>
        </is>
      </c>
      <c r="D1" s="1" t="inlineStr">
        <is>
          <t>行动</t>
        </is>
      </c>
    </row>
    <row r="2">
      <c r="A2" t="inlineStr">
        <is>
          <t>KS-1 盈利可持续性</t>
        </is>
      </c>
      <c r="B2" t="inlineStr">
        <is>
          <t>⚠️ 警告</t>
        </is>
      </c>
      <c r="C2" t="inlineStr">
        <is>
          <t>一次性项目占比80.4%</t>
        </is>
      </c>
      <c r="D2" t="inlineStr">
        <is>
          <t>已调整继续分析</t>
        </is>
      </c>
    </row>
    <row r="3">
      <c r="A3" t="inlineStr">
        <is>
          <t>KS-2 商誉风险</t>
        </is>
      </c>
      <c r="B3" t="inlineStr">
        <is>
          <t>✅ 通过</t>
        </is>
      </c>
      <c r="C3" t="inlineStr">
        <is>
          <t>商誉/净资产=9.1%</t>
        </is>
      </c>
      <c r="D3" t="inlineStr">
        <is>
          <t>无需行动</t>
        </is>
      </c>
    </row>
    <row r="4">
      <c r="A4" t="inlineStr">
        <is>
          <t>KS-3 成长假设合理性</t>
        </is>
      </c>
      <c r="B4" t="inlineStr">
        <is>
          <t>✅ 通过</t>
        </is>
      </c>
      <c r="C4" t="inlineStr">
        <is>
          <t>护城河期7年</t>
        </is>
      </c>
      <c r="D4" t="inlineStr">
        <is>
          <t>补充衰减假设</t>
        </is>
      </c>
    </row>
    <row r="5">
      <c r="A5" t="inlineStr">
        <is>
          <t>KS-4 估值内部一致性</t>
        </is>
      </c>
      <c r="B5" t="inlineStr">
        <is>
          <t>🟡 警告</t>
        </is>
      </c>
      <c r="C5" t="inlineStr">
        <is>
          <t>含GV估值=20.5x AV</t>
        </is>
      </c>
      <c r="D5" t="inlineStr">
        <is>
          <t>以EPV为主要参考</t>
        </is>
      </c>
    </row>
    <row r="6">
      <c r="A6" t="inlineStr">
        <is>
          <t>KS-5 行业周期位置</t>
        </is>
      </c>
      <c r="B6" t="inlineStr">
        <is>
          <t>✅ 通过</t>
        </is>
      </c>
      <c r="C6" t="inlineStr">
        <is>
          <t>成长期→成熟期过渡</t>
        </is>
      </c>
      <c r="D6" t="inlineStr">
        <is>
          <t>无需行动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悲观情景</t>
        </is>
      </c>
      <c r="C1" s="1" t="inlineStr">
        <is>
          <t>基准情景</t>
        </is>
      </c>
      <c r="D1" s="1" t="inlineStr">
        <is>
          <t>乐观情景</t>
        </is>
      </c>
    </row>
    <row r="2">
      <c r="A2" t="inlineStr">
        <is>
          <t>正常化EBIT利润率</t>
        </is>
      </c>
      <c r="B2" t="inlineStr">
        <is>
          <t>5.0%</t>
        </is>
      </c>
      <c r="C2" t="inlineStr">
        <is>
          <t>10.7%</t>
        </is>
      </c>
      <c r="D2" t="inlineStr">
        <is>
          <t>14.0%</t>
        </is>
      </c>
    </row>
    <row r="3">
      <c r="A3" t="inlineStr">
        <is>
          <t>维护CAPEX/收入</t>
        </is>
      </c>
      <c r="B3" t="inlineStr">
        <is>
          <t>1.0%</t>
        </is>
      </c>
      <c r="C3" t="inlineStr">
        <is>
          <t>0.5%</t>
        </is>
      </c>
      <c r="D3" t="inlineStr">
        <is>
          <t>0.3%</t>
        </is>
      </c>
    </row>
    <row r="4">
      <c r="A4" t="inlineStr">
        <is>
          <t>WACC</t>
        </is>
      </c>
      <c r="B4" t="inlineStr">
        <is>
          <t>11%</t>
        </is>
      </c>
      <c r="C4" t="inlineStr">
        <is>
          <t>9%</t>
        </is>
      </c>
      <c r="D4" t="inlineStr">
        <is>
          <t>8%</t>
        </is>
      </c>
    </row>
    <row r="5">
      <c r="A5" t="inlineStr">
        <is>
          <t>护城河持续期</t>
        </is>
      </c>
      <c r="B5" t="inlineStr">
        <is>
          <t>3年</t>
        </is>
      </c>
      <c r="C5" t="inlineStr">
        <is>
          <t>7年</t>
        </is>
      </c>
      <c r="D5" t="inlineStr">
        <is>
          <t>10年</t>
        </is>
      </c>
    </row>
    <row r="6">
      <c r="A6" t="inlineStr">
        <is>
          <t>有效增长率g_eff</t>
        </is>
      </c>
      <c r="B6" t="inlineStr">
        <is>
          <t>4%</t>
        </is>
      </c>
      <c r="C6" t="inlineStr">
        <is>
          <t>8%</t>
        </is>
      </c>
      <c r="D6" t="inlineStr">
        <is>
          <t>12%</t>
        </is>
      </c>
    </row>
    <row r="7">
      <c r="A7" t="inlineStr">
        <is>
          <t>价值创造因子VCF</t>
        </is>
      </c>
      <c r="B7" t="inlineStr">
        <is>
          <t>1.0x</t>
        </is>
      </c>
      <c r="C7" t="inlineStr">
        <is>
          <t>3.0x</t>
        </is>
      </c>
      <c r="D7" t="inlineStr">
        <is>
          <t>4.0x</t>
        </is>
      </c>
    </row>
    <row r="8">
      <c r="A8" t="inlineStr">
        <is>
          <t>AV每股</t>
        </is>
      </c>
      <c r="B8" t="inlineStr">
        <is>
          <t>$2.15</t>
        </is>
      </c>
      <c r="C8" t="inlineStr">
        <is>
          <t>$3.75</t>
        </is>
      </c>
      <c r="D8" t="inlineStr">
        <is>
          <t>$5.20</t>
        </is>
      </c>
    </row>
    <row r="9">
      <c r="A9" t="inlineStr">
        <is>
          <t>EPV每股</t>
        </is>
      </c>
      <c r="B9" t="inlineStr">
        <is>
          <t>$18.5</t>
        </is>
      </c>
      <c r="C9" t="inlineStr">
        <is>
          <t>$35.0</t>
        </is>
      </c>
      <c r="D9" t="inlineStr">
        <is>
          <t>$42.0</t>
        </is>
      </c>
    </row>
    <row r="10">
      <c r="A10" t="inlineStr">
        <is>
          <t>GV每股附加</t>
        </is>
      </c>
      <c r="B10" t="inlineStr">
        <is>
          <t>$0</t>
        </is>
      </c>
      <c r="C10" t="inlineStr">
        <is>
          <t>$42.0</t>
        </is>
      </c>
      <c r="D10" t="inlineStr">
        <is>
          <t>$95.0</t>
        </is>
      </c>
    </row>
    <row r="11">
      <c r="A11" t="inlineStr">
        <is>
          <t>综合内在价值</t>
        </is>
      </c>
      <c r="B11" t="inlineStr">
        <is>
          <t>$18.5</t>
        </is>
      </c>
      <c r="C11" t="inlineStr">
        <is>
          <t>$77.0</t>
        </is>
      </c>
      <c r="D11" t="inlineStr">
        <is>
          <t>$137.0</t>
        </is>
      </c>
    </row>
    <row r="12">
      <c r="A12" t="inlineStr">
        <is>
          <t>vs当前价格$70.72</t>
        </is>
      </c>
      <c r="B12" t="inlineStr">
        <is>
          <t>-74%</t>
        </is>
      </c>
      <c r="C12" t="inlineStr">
        <is>
          <t>+9%</t>
        </is>
      </c>
      <c r="D12" t="inlineStr">
        <is>
          <t>+94%</t>
        </is>
      </c>
    </row>
    <row r="13">
      <c r="A13" t="inlineStr">
        <is>
          <t>安全边际</t>
        </is>
      </c>
      <c r="B13" t="inlineStr">
        <is>
          <t>致命不足</t>
        </is>
      </c>
      <c r="C13" t="inlineStr">
        <is>
          <t>不足30%</t>
        </is>
      </c>
      <c r="D13" t="inlineStr">
        <is>
          <t>充足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基准值</t>
        </is>
      </c>
      <c r="C1" s="1" t="inlineStr">
        <is>
          <t>弹性(-10%)</t>
        </is>
      </c>
      <c r="D1" s="1" t="inlineStr">
        <is>
          <t>弹性(+10%)</t>
        </is>
      </c>
      <c r="E1" s="1" t="inlineStr">
        <is>
          <t>敏感度评级</t>
        </is>
      </c>
    </row>
    <row r="2">
      <c r="A2" t="inlineStr">
        <is>
          <t>EBIT利润率</t>
        </is>
      </c>
      <c r="B2" t="inlineStr">
        <is>
          <t>10.7%</t>
        </is>
      </c>
      <c r="C2" t="inlineStr">
        <is>
          <t>EPV=$31.5 (-10%)</t>
        </is>
      </c>
      <c r="D2" t="inlineStr">
        <is>
          <t>EPV=$38.5 (+10%)</t>
        </is>
      </c>
      <c r="E2" t="inlineStr">
        <is>
          <t>高</t>
        </is>
      </c>
    </row>
    <row r="3">
      <c r="A3" t="inlineStr">
        <is>
          <t>WACC</t>
        </is>
      </c>
      <c r="B3" t="inlineStr">
        <is>
          <t>9%</t>
        </is>
      </c>
      <c r="C3" t="inlineStr">
        <is>
          <t>EPV=$39.3 (+12%)</t>
        </is>
      </c>
      <c r="D3" t="inlineStr">
        <is>
          <t>EPV=$31.5 (-10%)</t>
        </is>
      </c>
      <c r="E3" t="inlineStr">
        <is>
          <t>极高</t>
        </is>
      </c>
    </row>
    <row r="4">
      <c r="A4" t="inlineStr">
        <is>
          <t>有效税率</t>
        </is>
      </c>
      <c r="B4" t="inlineStr">
        <is>
          <t>21%</t>
        </is>
      </c>
      <c r="C4" t="inlineStr">
        <is>
          <t>EPV=$35.8 (+2%)</t>
        </is>
      </c>
      <c r="D4" t="inlineStr">
        <is>
          <t>EPV=$34.2 (-2%)</t>
        </is>
      </c>
      <c r="E4" t="inlineStr">
        <is>
          <t>低</t>
        </is>
      </c>
    </row>
    <row r="5">
      <c r="A5" t="inlineStr">
        <is>
          <t>维护CAPEX</t>
        </is>
      </c>
      <c r="B5" t="inlineStr">
        <is>
          <t>0.5%</t>
        </is>
      </c>
      <c r="C5" t="inlineStr">
        <is>
          <t>EPV=$34.9 (-0.3%)</t>
        </is>
      </c>
      <c r="D5" t="inlineStr">
        <is>
          <t>EPV=$35.1 (+0.3%)</t>
        </is>
      </c>
      <c r="E5" t="inlineStr">
        <is>
          <t>极低</t>
        </is>
      </c>
    </row>
    <row r="6">
      <c r="A6" t="inlineStr">
        <is>
          <t>护城河期(仅GV)</t>
        </is>
      </c>
      <c r="B6" t="inlineStr">
        <is>
          <t>7年</t>
        </is>
      </c>
      <c r="C6" t="inlineStr">
        <is>
          <t>GV=$26 (-38%)</t>
        </is>
      </c>
      <c r="D6" t="inlineStr">
        <is>
          <t>GV=$58 (+38%)</t>
        </is>
      </c>
      <c r="E6" t="inlineStr">
        <is>
          <t>极高</t>
        </is>
      </c>
    </row>
    <row r="7">
      <c r="A7" t="inlineStr">
        <is>
          <t>有效增长率(仅GV)</t>
        </is>
      </c>
      <c r="B7" t="inlineStr">
        <is>
          <t>8%</t>
        </is>
      </c>
      <c r="C7" t="inlineStr">
        <is>
          <t>GV=$28 (-33%)</t>
        </is>
      </c>
      <c r="D7" t="inlineStr">
        <is>
          <t>GV=$56 (+33%)</t>
        </is>
      </c>
      <c r="E7" t="inlineStr">
        <is>
          <t>极高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指标名称</t>
        </is>
      </c>
      <c r="C1" s="1" t="inlineStr">
        <is>
          <t>类型</t>
        </is>
      </c>
      <c r="D1" s="1" t="inlineStr">
        <is>
          <t>监控频率</t>
        </is>
      </c>
      <c r="E1" s="1" t="inlineStr">
        <is>
          <t>正常范围</t>
        </is>
      </c>
      <c r="F1" s="1" t="inlineStr">
        <is>
          <t>预警阈值(黄灯)</t>
        </is>
      </c>
      <c r="G1" s="1" t="inlineStr">
        <is>
          <t>触发阈值(红灯)</t>
        </is>
      </c>
      <c r="H1" s="1" t="inlineStr">
        <is>
          <t>当前状态</t>
        </is>
      </c>
    </row>
    <row r="2">
      <c r="A2" t="n">
        <v>1</v>
      </c>
      <c r="B2" t="inlineStr">
        <is>
          <t>ROIC-WACC利差</t>
        </is>
      </c>
      <c r="C2" t="inlineStr">
        <is>
          <t>财务先行</t>
        </is>
      </c>
      <c r="D2" t="inlineStr">
        <is>
          <t>季度</t>
        </is>
      </c>
      <c r="E2" t="inlineStr">
        <is>
          <t>≥10pp</t>
        </is>
      </c>
      <c r="F2" t="inlineStr">
        <is>
          <t>5-10pp</t>
        </is>
      </c>
      <c r="G2" t="inlineStr">
        <is>
          <t>&lt;5pp</t>
        </is>
      </c>
      <c r="H2" t="inlineStr">
        <is>
          <t>🟢 正常</t>
        </is>
      </c>
    </row>
    <row r="3">
      <c r="A3" t="n">
        <v>2</v>
      </c>
      <c r="B3" t="inlineStr">
        <is>
          <t>FCF转化率</t>
        </is>
      </c>
      <c r="C3" t="inlineStr">
        <is>
          <t>财务先行</t>
        </is>
      </c>
      <c r="D3" t="inlineStr">
        <is>
          <t>季度</t>
        </is>
      </c>
      <c r="E3" t="inlineStr">
        <is>
          <t>≥80%</t>
        </is>
      </c>
      <c r="F3" t="inlineStr">
        <is>
          <t>60-80%</t>
        </is>
      </c>
      <c r="G3" t="inlineStr">
        <is>
          <t>&lt;60%</t>
        </is>
      </c>
      <c r="H3" t="inlineStr">
        <is>
          <t>🟢 正常</t>
        </is>
      </c>
    </row>
    <row r="4">
      <c r="A4" t="n">
        <v>3</v>
      </c>
      <c r="B4" t="inlineStr">
        <is>
          <t>MAPC留存率</t>
        </is>
      </c>
      <c r="C4" t="inlineStr">
        <is>
          <t>运营先行</t>
        </is>
      </c>
      <c r="D4" t="inlineStr">
        <is>
          <t>季度</t>
        </is>
      </c>
      <c r="E4" t="inlineStr">
        <is>
          <t>≥70%/年</t>
        </is>
      </c>
      <c r="F4" t="inlineStr">
        <is>
          <t>65-70%</t>
        </is>
      </c>
      <c r="G4" t="inlineStr">
        <is>
          <t>&lt;65%</t>
        </is>
      </c>
      <c r="H4" t="inlineStr">
        <is>
          <t>🟢 正常</t>
        </is>
      </c>
    </row>
    <row r="5">
      <c r="A5" t="n">
        <v>4</v>
      </c>
      <c r="B5" t="inlineStr">
        <is>
          <t>Take Rate</t>
        </is>
      </c>
      <c r="C5" t="inlineStr">
        <is>
          <t>运营先行</t>
        </is>
      </c>
      <c r="D5" t="inlineStr">
        <is>
          <t>季度</t>
        </is>
      </c>
      <c r="E5" t="inlineStr">
        <is>
          <t>30-35%</t>
        </is>
      </c>
      <c r="F5" t="inlineStr">
        <is>
          <t>下降&gt;2pp/季</t>
        </is>
      </c>
      <c r="G5" t="inlineStr">
        <is>
          <t>&lt;28%</t>
        </is>
      </c>
      <c r="H5" t="inlineStr">
        <is>
          <t>🟢 正常</t>
        </is>
      </c>
    </row>
    <row r="6">
      <c r="A6" t="n">
        <v>5</v>
      </c>
      <c r="B6" t="inlineStr">
        <is>
          <t>AV竞争态势</t>
        </is>
      </c>
      <c r="C6" t="inlineStr">
        <is>
          <t>行业先行</t>
        </is>
      </c>
      <c r="D6" t="inlineStr">
        <is>
          <t>月度</t>
        </is>
      </c>
      <c r="E6" t="inlineStr">
        <is>
          <t>&lt;10个城市</t>
        </is>
      </c>
      <c r="F6" t="inlineStr">
        <is>
          <t>10-20个城市</t>
        </is>
      </c>
      <c r="G6" t="inlineStr">
        <is>
          <t>&gt;20个城市</t>
        </is>
      </c>
      <c r="H6" t="inlineStr">
        <is>
          <t>🟡 预警</t>
        </is>
      </c>
    </row>
    <row r="7">
      <c r="A7" t="n">
        <v>6</v>
      </c>
      <c r="B7" t="inlineStr">
        <is>
          <t>司机成本占比</t>
        </is>
      </c>
      <c r="C7" t="inlineStr">
        <is>
          <t>财务先行</t>
        </is>
      </c>
      <c r="D7" t="inlineStr">
        <is>
          <t>季度</t>
        </is>
      </c>
      <c r="E7" t="inlineStr">
        <is>
          <t>55-60%</t>
        </is>
      </c>
      <c r="F7" t="inlineStr">
        <is>
          <t>60-65%</t>
        </is>
      </c>
      <c r="G7" t="inlineStr">
        <is>
          <t>&gt;65%</t>
        </is>
      </c>
      <c r="H7" t="inlineStr">
        <is>
          <t>🟢 正常</t>
        </is>
      </c>
    </row>
    <row r="8">
      <c r="A8" t="n">
        <v>7</v>
      </c>
      <c r="B8" t="inlineStr">
        <is>
          <t>监管风险指数</t>
        </is>
      </c>
      <c r="C8" t="inlineStr">
        <is>
          <t>行业先行</t>
        </is>
      </c>
      <c r="D8" t="inlineStr">
        <is>
          <t>月度</t>
        </is>
      </c>
      <c r="E8" t="inlineStr">
        <is>
          <t>无重大不利法规</t>
        </is>
      </c>
      <c r="F8" t="inlineStr">
        <is>
          <t>提出法案</t>
        </is>
      </c>
      <c r="G8" t="inlineStr">
        <is>
          <t>法案通过</t>
        </is>
      </c>
      <c r="H8" t="inlineStr">
        <is>
          <t>🟡 预警</t>
        </is>
      </c>
    </row>
    <row r="9">
      <c r="A9" t="n">
        <v>8</v>
      </c>
      <c r="B9" t="inlineStr">
        <is>
          <t>管理层持股变动</t>
        </is>
      </c>
      <c r="C9" t="inlineStr">
        <is>
          <t>财务先行</t>
        </is>
      </c>
      <c r="D9" t="inlineStr">
        <is>
          <t>季度</t>
        </is>
      </c>
      <c r="E9" t="inlineStr">
        <is>
          <t>稳定或增持</t>
        </is>
      </c>
      <c r="F9" t="inlineStr">
        <is>
          <t>减持&gt;10%</t>
        </is>
      </c>
      <c r="G9" t="inlineStr">
        <is>
          <t>减持&gt;20%</t>
        </is>
      </c>
      <c r="H9" t="inlineStr">
        <is>
          <t>🟢 正常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投资建议</t>
        </is>
      </c>
      <c r="B2" t="inlineStr">
        <is>
          <t>观察/不予买入</t>
        </is>
      </c>
      <c r="C2" t="inlineStr">
        <is>
          <t>当前价格&gt;EPV基准，安全边际不足</t>
        </is>
      </c>
    </row>
    <row r="3">
      <c r="A3" t="inlineStr">
        <is>
          <t>置信度</t>
        </is>
      </c>
      <c r="B3" t="inlineStr">
        <is>
          <t>🟡 中置信度</t>
        </is>
      </c>
      <c r="C3" t="inlineStr">
        <is>
          <t>GV支撑安全边际，护城河面临技术替代风险</t>
        </is>
      </c>
    </row>
    <row r="4">
      <c r="A4" t="inlineStr">
        <is>
          <t>当前价格</t>
        </is>
      </c>
      <c r="B4" t="inlineStr">
        <is>
          <t>$70.72</t>
        </is>
      </c>
      <c r="C4" t="inlineStr">
        <is>
          <t>2026-02-26收盘价</t>
        </is>
      </c>
    </row>
    <row r="5">
      <c r="A5" t="inlineStr">
        <is>
          <t>加权内在价值</t>
        </is>
      </c>
      <c r="B5" t="inlineStr">
        <is>
          <t>$85.5</t>
        </is>
      </c>
      <c r="C5" t="inlineStr">
        <is>
          <t>概率加权(15%/50%/35%)</t>
        </is>
      </c>
    </row>
    <row r="6">
      <c r="A6" t="inlineStr">
        <is>
          <t>安全边际(加权)</t>
        </is>
      </c>
      <c r="B6" t="inlineStr">
        <is>
          <t>+21%</t>
        </is>
      </c>
      <c r="C6" t="inlineStr">
        <is>
          <t>需GV完全实现</t>
        </is>
      </c>
    </row>
    <row r="7">
      <c r="A7" t="inlineStr">
        <is>
          <t>安全边际(EPV基准)</t>
        </is>
      </c>
      <c r="B7" t="inlineStr">
        <is>
          <t>-50.5%</t>
        </is>
      </c>
      <c r="C7" t="inlineStr">
        <is>
          <t>EPV基准$35</t>
        </is>
      </c>
    </row>
    <row r="8">
      <c r="A8" t="inlineStr">
        <is>
          <t>买入触发价</t>
        </is>
      </c>
      <c r="B8" t="inlineStr">
        <is>
          <t>$24.5 (EPV×0.7)</t>
        </is>
      </c>
      <c r="C8" t="inlineStr">
        <is>
          <t>30%安全边际要求</t>
        </is>
      </c>
    </row>
    <row r="9">
      <c r="A9" t="inlineStr">
        <is>
          <t>初始仓位建议</t>
        </is>
      </c>
      <c r="B9" t="inlineStr">
        <is>
          <t>2%</t>
        </is>
      </c>
      <c r="C9" t="inlineStr">
        <is>
          <t>试探性建仓</t>
        </is>
      </c>
    </row>
    <row r="10">
      <c r="A10" t="inlineStr">
        <is>
          <t>最大仓位建议</t>
        </is>
      </c>
      <c r="B10" t="inlineStr">
        <is>
          <t>8%</t>
        </is>
      </c>
      <c r="C10" t="inlineStr">
        <is>
          <t>控制自动驾驶风险</t>
        </is>
      </c>
    </row>
    <row r="11">
      <c r="A11" t="inlineStr">
        <is>
          <t>最大风险</t>
        </is>
      </c>
      <c r="B11" t="inlineStr">
        <is>
          <t>-74% (悲观情景)</t>
        </is>
      </c>
      <c r="C11" t="inlineStr">
        <is>
          <t>护城河期3年+GV归零</t>
        </is>
      </c>
    </row>
    <row r="12">
      <c r="A12" t="inlineStr">
        <is>
          <t>最大收益</t>
        </is>
      </c>
      <c r="B12" t="inlineStr">
        <is>
          <t>+94% (乐观情景)</t>
        </is>
      </c>
      <c r="C12" t="inlineStr">
        <is>
          <t>护城河期10年+AV合作成功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情景</t>
        </is>
      </c>
      <c r="B1" s="1" t="inlineStr">
        <is>
          <t>概率</t>
        </is>
      </c>
      <c r="C1" s="1" t="inlineStr">
        <is>
          <t>目标价</t>
        </is>
      </c>
      <c r="D1" s="1" t="inlineStr">
        <is>
          <t>潜在回报</t>
        </is>
      </c>
      <c r="E1" s="1" t="inlineStr">
        <is>
          <t>驱动条件</t>
        </is>
      </c>
      <c r="F1" s="1" t="inlineStr">
        <is>
          <t>概率设定理由</t>
        </is>
      </c>
    </row>
    <row r="2">
      <c r="A2" t="inlineStr">
        <is>
          <t>悲观情景</t>
        </is>
      </c>
      <c r="B2" t="inlineStr">
        <is>
          <t>15%</t>
        </is>
      </c>
      <c r="C2" t="inlineStr">
        <is>
          <t>$18.5</t>
        </is>
      </c>
      <c r="D2" t="inlineStr">
        <is>
          <t>-74%</t>
        </is>
      </c>
      <c r="E2" t="inlineStr">
        <is>
          <t>护城河期3年，GV归零，自动驾驶颠覆</t>
        </is>
      </c>
      <c r="F2" t="inlineStr">
        <is>
          <t>自动驾驶+监管双杀风险</t>
        </is>
      </c>
    </row>
    <row r="3">
      <c r="A3" t="inlineStr">
        <is>
          <t>基准情景</t>
        </is>
      </c>
      <c r="B3" t="inlineStr">
        <is>
          <t>50%</t>
        </is>
      </c>
      <c r="C3" t="inlineStr">
        <is>
          <t>$77.0</t>
        </is>
      </c>
      <c r="D3" t="inlineStr">
        <is>
          <t>+9%</t>
        </is>
      </c>
      <c r="E3" t="inlineStr">
        <is>
          <t>EPV + GV基准实现，护城河期7年</t>
        </is>
      </c>
      <c r="F3" t="inlineStr">
        <is>
          <t>护城河稳定+增长温和实现</t>
        </is>
      </c>
    </row>
    <row r="4">
      <c r="A4" t="inlineStr">
        <is>
          <t>乐观情景</t>
        </is>
      </c>
      <c r="B4" t="inlineStr">
        <is>
          <t>35%</t>
        </is>
      </c>
      <c r="C4" t="inlineStr">
        <is>
          <t>$137.0</t>
        </is>
      </c>
      <c r="D4" t="inlineStr">
        <is>
          <t>+94%</t>
        </is>
      </c>
      <c r="E4" t="inlineStr">
        <is>
          <t>护城河期10年 + AV合作成功</t>
        </is>
      </c>
      <c r="F4" t="inlineStr">
        <is>
          <t>AV合作深化+市场扩张超预期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Tripwire</t>
        </is>
      </c>
      <c r="B1" s="1" t="inlineStr">
        <is>
          <t>触发条件</t>
        </is>
      </c>
      <c r="C1" s="1" t="inlineStr">
        <is>
          <t>行动</t>
        </is>
      </c>
      <c r="D1" s="1" t="inlineStr">
        <is>
          <t>监控频率</t>
        </is>
      </c>
      <c r="E1" s="1" t="inlineStr">
        <is>
          <t>当前状态</t>
        </is>
      </c>
    </row>
    <row r="2">
      <c r="A2" t="inlineStr">
        <is>
          <t>A: 护城河侵蚀</t>
        </is>
      </c>
      <c r="B2" t="inlineStr">
        <is>
          <t>ROIC-WACC利差&lt;20pp连续2季度</t>
        </is>
      </c>
      <c r="C2" t="inlineStr">
        <is>
          <t>减仓50%，重评估</t>
        </is>
      </c>
      <c r="D2" t="inlineStr">
        <is>
          <t>季度</t>
        </is>
      </c>
      <c r="E2" t="inlineStr">
        <is>
          <t>🟢 正常(53.6pp)</t>
        </is>
      </c>
    </row>
    <row r="3">
      <c r="A3" t="inlineStr">
        <is>
          <t>B: 盈利质量恶化</t>
        </is>
      </c>
      <c r="B3" t="inlineStr">
        <is>
          <t>FCF/净利润&lt;60%连续2季度</t>
        </is>
      </c>
      <c r="C3" t="inlineStr">
        <is>
          <t>全面复核EPV</t>
        </is>
      </c>
      <c r="D3" t="inlineStr">
        <is>
          <t>季度</t>
        </is>
      </c>
      <c r="E3" t="inlineStr">
        <is>
          <t>🟢 正常(92%)</t>
        </is>
      </c>
    </row>
    <row r="4">
      <c r="A4" t="inlineStr">
        <is>
          <t>C: 管理层信心信号</t>
        </is>
      </c>
      <c r="B4" t="inlineStr">
        <is>
          <t>CEO/CFO减持&gt;10%持股</t>
        </is>
      </c>
      <c r="C4" t="inlineStr">
        <is>
          <t>完整重评估</t>
        </is>
      </c>
      <c r="D4" t="inlineStr">
        <is>
          <t>季度</t>
        </is>
      </c>
      <c r="E4" t="inlineStr">
        <is>
          <t>🟢 正常(稳定)</t>
        </is>
      </c>
    </row>
    <row r="5">
      <c r="A5" t="inlineStr">
        <is>
          <t>D: 自动驾驶竞争冲击</t>
        </is>
      </c>
      <c r="B5" t="inlineStr">
        <is>
          <t>Waymo TOP10城市市占率&gt;10%</t>
        </is>
      </c>
      <c r="C5" t="inlineStr">
        <is>
          <t>减仓至25%，重估GV</t>
        </is>
      </c>
      <c r="D5" t="inlineStr">
        <is>
          <t>月度</t>
        </is>
      </c>
      <c r="E5" t="inlineStr">
        <is>
          <t>🟡 预警(Waymo扩张中)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可证伪条件</t>
        </is>
      </c>
      <c r="C1" s="1" t="inlineStr">
        <is>
          <t>判断失效后果</t>
        </is>
      </c>
      <c r="D1" s="1" t="inlineStr">
        <is>
          <t>目标价调整</t>
        </is>
      </c>
      <c r="E1" s="1" t="inlineStr">
        <is>
          <t>下次检查</t>
        </is>
      </c>
    </row>
    <row r="2">
      <c r="A2" t="n">
        <v>1</v>
      </c>
      <c r="B2" t="inlineStr">
        <is>
          <t>ROIC-WACC利差连续2年&lt;15pp</t>
        </is>
      </c>
      <c r="C2" t="inlineStr">
        <is>
          <t>护城河期下调至3年，GV归零</t>
        </is>
      </c>
      <c r="D2" t="inlineStr">
        <is>
          <t>$28-35</t>
        </is>
      </c>
      <c r="E2" t="inlineStr">
        <is>
          <t>FY2026年报</t>
        </is>
      </c>
    </row>
    <row r="3">
      <c r="A3" t="n">
        <v>2</v>
      </c>
      <c r="B3" t="inlineStr">
        <is>
          <t>FY2026 EBIT利润率&lt;6%</t>
        </is>
      </c>
      <c r="C3" t="inlineStr">
        <is>
          <t>EPV下调30%</t>
        </is>
      </c>
      <c r="D3" t="inlineStr">
        <is>
          <t>$50</t>
        </is>
      </c>
      <c r="E3" t="inlineStr">
        <is>
          <t>FY2026Q4</t>
        </is>
      </c>
    </row>
    <row r="4">
      <c r="A4" t="n">
        <v>3</v>
      </c>
      <c r="B4" t="inlineStr">
        <is>
          <t>Waymo TOP10城市全覆盖+定价低于15%</t>
        </is>
      </c>
      <c r="C4" t="inlineStr">
        <is>
          <t>GV归零，目标价$28-35</t>
        </is>
      </c>
      <c r="D4" t="inlineStr">
        <is>
          <t>$28-35</t>
        </is>
      </c>
      <c r="E4" t="inlineStr">
        <is>
          <t>月度更新</t>
        </is>
      </c>
    </row>
    <row r="5">
      <c r="A5" t="n">
        <v>4</v>
      </c>
      <c r="B5" t="inlineStr">
        <is>
          <t>未来2年重大收购&gt;$5B或增发&gt;5%</t>
        </is>
      </c>
      <c r="C5" t="inlineStr">
        <is>
          <t>管理层质量存疑，可能下调WACC</t>
        </is>
      </c>
      <c r="D5" t="inlineStr">
        <is>
          <t>重新评估</t>
        </is>
      </c>
      <c r="E5" t="inlineStr">
        <is>
          <t>实时监控</t>
        </is>
      </c>
    </row>
    <row r="6">
      <c r="A6" t="n">
        <v>5</v>
      </c>
      <c r="B6" t="inlineStr">
        <is>
          <t>Lyft市占率回升至35%+</t>
        </is>
      </c>
      <c r="C6" t="inlineStr">
        <is>
          <t>Take Rate假设下调，EPV重估</t>
        </is>
      </c>
      <c r="D6" t="inlineStr">
        <is>
          <t>重新评估</t>
        </is>
      </c>
      <c r="E6" t="inlineStr">
        <is>
          <t>季度更新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2026-02-26T13:57:35Z</dcterms:created>
  <dcterms:modified xmlns:dcterms="http://purl.org/dc/terms/" xmlns:xsi="http://www.w3.org/2001/XMLSchema-instance" xsi:type="dcterms:W3CDTF">2026-02-26T14:12:24Z</dcterms:modified>
</cp:coreProperties>
</file>