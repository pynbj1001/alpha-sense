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AMD Revenue Model</t>
        </is>
      </c>
    </row>
    <row r="3">
      <c r="A3" s="2" t="inlineStr">
        <is>
          <t>Product Line Revenue Breakdown</t>
        </is>
      </c>
    </row>
    <row r="4">
      <c r="A4" s="3" t="inlineStr">
        <is>
          <t>Product Line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</row>
    <row r="5">
      <c r="A5" t="inlineStr">
        <is>
          <t>Client Processors (Ryzen)</t>
        </is>
      </c>
      <c r="B5" s="4" t="n">
        <v>5200</v>
      </c>
      <c r="C5" s="4" t="n">
        <v>5800</v>
      </c>
      <c r="D5" s="4" t="n">
        <v>6500</v>
      </c>
    </row>
    <row r="6">
      <c r="A6" t="inlineStr">
        <is>
          <t>Graphics (Radeon)</t>
        </is>
      </c>
      <c r="B6" s="4" t="n">
        <v>4100</v>
      </c>
      <c r="C6" s="4" t="n">
        <v>4200</v>
      </c>
      <c r="D6" s="4" t="n">
        <v>3800</v>
      </c>
    </row>
    <row r="7">
      <c r="A7" t="inlineStr">
        <is>
          <t>Server (EPYC)</t>
        </is>
      </c>
      <c r="B7" s="4" t="n">
        <v>6200</v>
      </c>
      <c r="C7" s="4" t="n">
        <v>8800</v>
      </c>
      <c r="D7" s="4" t="n">
        <v>10500</v>
      </c>
    </row>
    <row r="8">
      <c r="A8" t="inlineStr">
        <is>
          <t>Data Center GPU (Instinct)</t>
        </is>
      </c>
      <c r="B8" s="4" t="n">
        <v>500</v>
      </c>
      <c r="C8" s="4" t="n">
        <v>1800</v>
      </c>
      <c r="D8" s="4" t="n">
        <v>4000</v>
      </c>
    </row>
    <row r="9">
      <c r="A9" t="inlineStr">
        <is>
          <t>FPGA &amp; Adaptive (Xilinx)</t>
        </is>
      </c>
      <c r="B9" s="4" t="n">
        <v>0</v>
      </c>
      <c r="C9" s="4" t="n">
        <v>2500</v>
      </c>
      <c r="D9" s="4" t="n">
        <v>3500</v>
      </c>
    </row>
    <row r="10">
      <c r="A10" t="inlineStr">
        <is>
          <t>Semi-Custom (Console)</t>
        </is>
      </c>
      <c r="B10" s="4" t="n">
        <v>2300</v>
      </c>
      <c r="C10" s="4" t="n">
        <v>2100</v>
      </c>
      <c r="D10" s="4" t="n">
        <v>2000</v>
      </c>
    </row>
    <row r="11">
      <c r="A11" t="inlineStr">
        <is>
          <t>Other</t>
        </is>
      </c>
      <c r="B11" s="4" t="n">
        <v>300</v>
      </c>
      <c r="C11" s="4" t="n">
        <v>300</v>
      </c>
      <c r="D11" s="4" t="n">
        <v>300</v>
      </c>
    </row>
    <row r="14">
      <c r="A14" s="2" t="inlineStr">
        <is>
          <t>Geographic Revenue Breakdown</t>
        </is>
      </c>
    </row>
    <row r="15">
      <c r="A15" s="3" t="inlineStr">
        <is>
          <t>Region</t>
        </is>
      </c>
      <c r="B15" s="3" t="inlineStr">
        <is>
          <t>FY2023</t>
        </is>
      </c>
      <c r="C15" s="3" t="inlineStr">
        <is>
          <t>FY2024</t>
        </is>
      </c>
      <c r="D15" s="3" t="inlineStr">
        <is>
          <t>FY2025</t>
        </is>
      </c>
    </row>
    <row r="16">
      <c r="A16" t="inlineStr">
        <is>
          <t>United States</t>
        </is>
      </c>
      <c r="B16" s="4" t="n">
        <v>11200</v>
      </c>
      <c r="C16" s="4" t="n">
        <v>13800</v>
      </c>
      <c r="D16" s="4" t="n">
        <v>15800</v>
      </c>
    </row>
    <row r="17">
      <c r="A17" t="inlineStr">
        <is>
          <t>China</t>
        </is>
      </c>
      <c r="B17" s="4" t="n">
        <v>4800</v>
      </c>
      <c r="C17" s="4" t="n">
        <v>5200</v>
      </c>
      <c r="D17" s="4" t="n">
        <v>4200</v>
      </c>
    </row>
    <row r="18">
      <c r="A18" t="inlineStr">
        <is>
          <t>Europe, Middle East, Africa</t>
        </is>
      </c>
      <c r="B18" s="4" t="n">
        <v>5200</v>
      </c>
      <c r="C18" s="4" t="n">
        <v>6200</v>
      </c>
      <c r="D18" s="4" t="n">
        <v>7500</v>
      </c>
    </row>
    <row r="19">
      <c r="A19" t="inlineStr">
        <is>
          <t>Asia-Pacific (excl. China)</t>
        </is>
      </c>
      <c r="B19" s="4" t="n">
        <v>3400</v>
      </c>
      <c r="C19" s="4" t="n">
        <v>4200</v>
      </c>
      <c r="D19" s="4" t="n">
        <v>5000</v>
      </c>
    </row>
    <row r="20">
      <c r="A20" t="inlineStr">
        <is>
          <t>Japan</t>
        </is>
      </c>
      <c r="B20" s="4" t="n">
        <v>1800</v>
      </c>
      <c r="C20" s="4" t="n">
        <v>2000</v>
      </c>
      <c r="D20" s="4" t="n">
        <v>2200</v>
      </c>
    </row>
    <row r="21">
      <c r="A21" t="inlineStr">
        <is>
          <t>Rest of World</t>
        </is>
      </c>
      <c r="B21" s="4" t="n">
        <v>900</v>
      </c>
      <c r="C21" s="4" t="n">
        <v>1100</v>
      </c>
      <c r="D21" s="4" t="n">
        <v>1400</v>
      </c>
    </row>
    <row r="23">
      <c r="A23" s="2" t="inlineStr">
        <is>
          <t>Growth Assumptions (Base Case)</t>
        </is>
      </c>
    </row>
    <row r="24">
      <c r="A24" s="3" t="inlineStr">
        <is>
          <t>Metric</t>
        </is>
      </c>
      <c r="B24" s="3" t="inlineStr">
        <is>
          <t>FY2026E</t>
        </is>
      </c>
      <c r="C24" s="3" t="inlineStr">
        <is>
          <t>FY2027E</t>
        </is>
      </c>
      <c r="D24" s="3" t="inlineStr">
        <is>
          <t>FY2028E</t>
        </is>
      </c>
      <c r="E24" s="3" t="inlineStr">
        <is>
          <t>FY2029E</t>
        </is>
      </c>
      <c r="F24" s="3" t="inlineStr">
        <is>
          <t>FY2030E</t>
        </is>
      </c>
    </row>
    <row r="25">
      <c r="A25" t="inlineStr">
        <is>
          <t>Client Growth %</t>
        </is>
      </c>
      <c r="B25" s="4" t="inlineStr">
        <is>
          <t>8%</t>
        </is>
      </c>
      <c r="C25" s="4" t="inlineStr">
        <is>
          <t>7%</t>
        </is>
      </c>
      <c r="D25" s="4" t="inlineStr">
        <is>
          <t>6%</t>
        </is>
      </c>
      <c r="E25" s="4" t="inlineStr">
        <is>
          <t>5%</t>
        </is>
      </c>
      <c r="F25" s="4" t="inlineStr">
        <is>
          <t>5%</t>
        </is>
      </c>
    </row>
    <row r="26">
      <c r="A26" t="inlineStr">
        <is>
          <t>Graphics Growth %</t>
        </is>
      </c>
      <c r="B26" s="4" t="inlineStr">
        <is>
          <t>-5%</t>
        </is>
      </c>
      <c r="C26" s="4" t="inlineStr">
        <is>
          <t>5%</t>
        </is>
      </c>
      <c r="D26" s="4" t="inlineStr">
        <is>
          <t>8%</t>
        </is>
      </c>
      <c r="E26" s="4" t="inlineStr">
        <is>
          <t>5%</t>
        </is>
      </c>
      <c r="F26" s="4" t="inlineStr">
        <is>
          <t>5%</t>
        </is>
      </c>
    </row>
    <row r="27">
      <c r="A27" t="inlineStr">
        <is>
          <t>Server Growth %</t>
        </is>
      </c>
      <c r="B27" s="4" t="inlineStr">
        <is>
          <t>25%</t>
        </is>
      </c>
      <c r="C27" s="4" t="inlineStr">
        <is>
          <t>20%</t>
        </is>
      </c>
      <c r="D27" s="4" t="inlineStr">
        <is>
          <t>15%</t>
        </is>
      </c>
      <c r="E27" s="4" t="inlineStr">
        <is>
          <t>12%</t>
        </is>
      </c>
      <c r="F27" s="4" t="inlineStr">
        <is>
          <t>10%</t>
        </is>
      </c>
    </row>
    <row r="28">
      <c r="A28" t="inlineStr">
        <is>
          <t>Data Center GPU Growth %</t>
        </is>
      </c>
      <c r="B28" s="4" t="inlineStr">
        <is>
          <t>80%</t>
        </is>
      </c>
      <c r="C28" s="4" t="inlineStr">
        <is>
          <t>60%</t>
        </is>
      </c>
      <c r="D28" s="4" t="inlineStr">
        <is>
          <t>40%</t>
        </is>
      </c>
      <c r="E28" s="4" t="inlineStr">
        <is>
          <t>30%</t>
        </is>
      </c>
      <c r="F28" s="4" t="inlineStr">
        <is>
          <t>25%</t>
        </is>
      </c>
    </row>
    <row r="29">
      <c r="A29" t="inlineStr">
        <is>
          <t>FPGA Growth %</t>
        </is>
      </c>
      <c r="B29" s="4" t="inlineStr">
        <is>
          <t>20%</t>
        </is>
      </c>
      <c r="C29" s="4" t="inlineStr">
        <is>
          <t>15%</t>
        </is>
      </c>
      <c r="D29" s="4" t="inlineStr">
        <is>
          <t>12%</t>
        </is>
      </c>
      <c r="E29" s="4" t="inlineStr">
        <is>
          <t>10%</t>
        </is>
      </c>
      <c r="F29" s="4" t="inlineStr">
        <is>
          <t>8%</t>
        </is>
      </c>
    </row>
    <row r="30">
      <c r="A30" t="inlineStr">
        <is>
          <t>Semi-Custom Growth %</t>
        </is>
      </c>
      <c r="B30" s="4" t="inlineStr">
        <is>
          <t>-10%</t>
        </is>
      </c>
      <c r="C30" s="4" t="inlineStr">
        <is>
          <t>5%</t>
        </is>
      </c>
      <c r="D30" s="4" t="inlineStr">
        <is>
          <t>0%</t>
        </is>
      </c>
      <c r="E30" s="4" t="inlineStr">
        <is>
          <t>0%</t>
        </is>
      </c>
      <c r="F30" s="4" t="inlineStr">
        <is>
          <t>10%</t>
        </is>
      </c>
    </row>
    <row r="31">
      <c r="A31" t="inlineStr">
        <is>
          <t>Total Revenue Growth %</t>
        </is>
      </c>
      <c r="B31" s="4" t="inlineStr">
        <is>
          <t>22%</t>
        </is>
      </c>
      <c r="C31" s="4" t="inlineStr">
        <is>
          <t>18%</t>
        </is>
      </c>
      <c r="D31" s="4" t="inlineStr">
        <is>
          <t>14%</t>
        </is>
      </c>
      <c r="E31" s="4" t="inlineStr">
        <is>
          <t>11%</t>
        </is>
      </c>
      <c r="F31" s="4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AMD Income Statement (USD Millions)</t>
        </is>
      </c>
    </row>
    <row r="3">
      <c r="A3" s="3" t="inlineStr">
        <is>
          <t>Line Item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  <c r="E3" s="3" t="inlineStr">
        <is>
          <t>FY2026E</t>
        </is>
      </c>
      <c r="F3" s="3" t="inlineStr">
        <is>
          <t>FY2027E</t>
        </is>
      </c>
      <c r="G3" s="3" t="inlineStr">
        <is>
          <t>FY2028E</t>
        </is>
      </c>
      <c r="H3" s="3" t="inlineStr">
        <is>
          <t>FY2029E</t>
        </is>
      </c>
      <c r="I3" s="3" t="inlineStr">
        <is>
          <t>FY2030E</t>
        </is>
      </c>
    </row>
    <row r="4">
      <c r="A4" t="inlineStr">
        <is>
          <t>Revenue</t>
        </is>
      </c>
      <c r="B4" s="4" t="n">
        <v>21300</v>
      </c>
      <c r="C4" s="4" t="n">
        <v>25700</v>
      </c>
      <c r="D4" s="4" t="n">
        <v>26300</v>
      </c>
      <c r="E4" s="4" t="n">
        <v>32086</v>
      </c>
      <c r="F4" s="4" t="n">
        <v>31034</v>
      </c>
      <c r="G4" s="4" t="n">
        <v>29982</v>
      </c>
      <c r="H4" s="4" t="n">
        <v>29193</v>
      </c>
      <c r="I4" s="4" t="n">
        <v>28930</v>
      </c>
    </row>
    <row r="5">
      <c r="A5" t="inlineStr">
        <is>
          <t>Cost of Sales</t>
        </is>
      </c>
      <c r="B5" s="4" t="n">
        <v>12100</v>
      </c>
      <c r="C5" s="4" t="n">
        <v>14500</v>
      </c>
      <c r="D5" s="4" t="n">
        <v>12600</v>
      </c>
      <c r="E5">
        <f>E4*0.47</f>
        <v/>
      </c>
      <c r="F5">
        <f>E4*0.45999999999999996</f>
        <v/>
      </c>
      <c r="G5">
        <f>E4*0.45499999999999996</f>
        <v/>
      </c>
      <c r="H5">
        <f>E4*0.44999999999999996</f>
        <v/>
      </c>
      <c r="I5">
        <f>E4*0.44999999999999996</f>
        <v/>
      </c>
    </row>
    <row r="6">
      <c r="A6" t="inlineStr">
        <is>
          <t>Gross Profit</t>
        </is>
      </c>
      <c r="B6" s="4" t="n">
        <v>9200</v>
      </c>
      <c r="C6" s="4" t="n">
        <v>11200</v>
      </c>
      <c r="D6" s="4" t="n">
        <v>13700</v>
      </c>
      <c r="E6">
        <f>E4-E5</f>
        <v/>
      </c>
      <c r="F6">
        <f>E4-E5</f>
        <v/>
      </c>
      <c r="G6">
        <f>E4-E5</f>
        <v/>
      </c>
      <c r="H6">
        <f>E4-E5</f>
        <v/>
      </c>
      <c r="I6">
        <f>E4-E5</f>
        <v/>
      </c>
    </row>
    <row r="7">
      <c r="A7" t="inlineStr">
        <is>
          <t>Operating Expenses:</t>
        </is>
      </c>
      <c r="B7" s="5" t="inlineStr"/>
      <c r="C7" s="5" t="inlineStr"/>
      <c r="D7" s="5" t="inlineStr"/>
    </row>
    <row r="8">
      <c r="A8" t="inlineStr">
        <is>
          <t xml:space="preserve">  Research &amp; Development</t>
        </is>
      </c>
      <c r="B8" s="4" t="n">
        <v>2700</v>
      </c>
      <c r="C8" s="4" t="n">
        <v>3000</v>
      </c>
      <c r="D8" s="4" t="n">
        <v>3300</v>
      </c>
      <c r="E8">
        <f>E4*0.13</f>
        <v/>
      </c>
      <c r="F8">
        <f>E4*0.125</f>
        <v/>
      </c>
      <c r="G8">
        <f>E4*0.12</f>
        <v/>
      </c>
      <c r="H8">
        <f>E4*0.12</f>
        <v/>
      </c>
      <c r="I8">
        <f>E4*0.12</f>
        <v/>
      </c>
    </row>
    <row r="9">
      <c r="A9" t="inlineStr">
        <is>
          <t xml:space="preserve">  Marketing, General &amp; Administrative</t>
        </is>
      </c>
      <c r="B9" s="4" t="n">
        <v>1900</v>
      </c>
      <c r="C9" s="4" t="n">
        <v>2100</v>
      </c>
      <c r="D9" s="4" t="n">
        <v>2300</v>
      </c>
      <c r="E9">
        <f>E4*0.09</f>
        <v/>
      </c>
      <c r="F9">
        <f>E4*0.085</f>
        <v/>
      </c>
      <c r="G9">
        <f>E4*0.08</f>
        <v/>
      </c>
      <c r="H9">
        <f>E4*0.08</f>
        <v/>
      </c>
      <c r="I9">
        <f>E4*0.08</f>
        <v/>
      </c>
    </row>
    <row r="10">
      <c r="A10" t="inlineStr">
        <is>
          <t xml:space="preserve">  Amortization of Intangibles</t>
        </is>
      </c>
      <c r="B10" s="4" t="n">
        <v>300</v>
      </c>
      <c r="C10" s="4" t="n">
        <v>350</v>
      </c>
      <c r="D10" s="4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</row>
    <row r="11">
      <c r="A11" t="inlineStr">
        <is>
          <t>Total Operating Expenses</t>
        </is>
      </c>
      <c r="B11" s="4" t="n">
        <v>4900</v>
      </c>
      <c r="C11" s="4" t="n">
        <v>5450</v>
      </c>
      <c r="D11" s="4" t="n">
        <v>6000</v>
      </c>
    </row>
    <row r="12">
      <c r="A12" t="inlineStr">
        <is>
          <t>Operating Income</t>
        </is>
      </c>
      <c r="B12" s="4" t="n">
        <v>4300</v>
      </c>
      <c r="C12" s="4" t="n">
        <v>5750</v>
      </c>
      <c r="D12" s="4" t="n">
        <v>7700</v>
      </c>
      <c r="E12">
        <f>E6-E11</f>
        <v/>
      </c>
      <c r="F12">
        <f>F6-F11</f>
        <v/>
      </c>
      <c r="G12">
        <f>G6-G11</f>
        <v/>
      </c>
      <c r="H12">
        <f>H6-H11</f>
        <v/>
      </c>
      <c r="I12">
        <f>I6-I11</f>
        <v/>
      </c>
    </row>
    <row r="13">
      <c r="A13" t="inlineStr">
        <is>
          <t>Interest Income</t>
        </is>
      </c>
      <c r="B13" s="4" t="n">
        <v>150</v>
      </c>
      <c r="C13" s="4" t="n">
        <v>200</v>
      </c>
      <c r="D13" s="4" t="n">
        <v>250</v>
      </c>
    </row>
    <row r="14">
      <c r="A14" t="inlineStr">
        <is>
          <t>Interest Expense</t>
        </is>
      </c>
      <c r="B14" s="4" t="n">
        <v>200</v>
      </c>
      <c r="C14" s="4" t="n">
        <v>180</v>
      </c>
      <c r="D14" s="4" t="n">
        <v>150</v>
      </c>
    </row>
    <row r="15">
      <c r="A15" t="inlineStr">
        <is>
          <t>Other Income (Expense)</t>
        </is>
      </c>
      <c r="B15" s="4" t="n">
        <v>100</v>
      </c>
      <c r="C15" s="4" t="n">
        <v>150</v>
      </c>
      <c r="D15" s="4" t="n">
        <v>200</v>
      </c>
    </row>
    <row r="16">
      <c r="A16" t="inlineStr">
        <is>
          <t>Income Before Tax</t>
        </is>
      </c>
      <c r="B16" s="4" t="n">
        <v>4350</v>
      </c>
      <c r="C16" s="4" t="n">
        <v>5920</v>
      </c>
      <c r="D16" s="4" t="n">
        <v>8000</v>
      </c>
    </row>
    <row r="17">
      <c r="A17" t="inlineStr">
        <is>
          <t>Provision for Income Tax</t>
        </is>
      </c>
      <c r="B17" s="4" t="n">
        <v>900</v>
      </c>
      <c r="C17" s="4" t="n">
        <v>1200</v>
      </c>
      <c r="D17" s="4" t="n">
        <v>1600</v>
      </c>
    </row>
    <row r="18">
      <c r="A18" t="inlineStr">
        <is>
          <t>Net Income</t>
        </is>
      </c>
      <c r="B18" s="4" t="n">
        <v>1200</v>
      </c>
      <c r="C18" s="4" t="n">
        <v>2100</v>
      </c>
      <c r="D18" s="4" t="n">
        <v>1800</v>
      </c>
    </row>
    <row r="19">
      <c r="A19" t="inlineStr"/>
      <c r="B19" s="5" t="inlineStr"/>
      <c r="C19" s="5" t="inlineStr"/>
      <c r="D19" s="5" t="inlineStr"/>
    </row>
    <row r="20">
      <c r="A20" t="inlineStr">
        <is>
          <t>EPS (Diluted)</t>
        </is>
      </c>
      <c r="B20" s="4" t="n">
        <v>0.77</v>
      </c>
      <c r="C20" s="4" t="n">
        <v>1.21</v>
      </c>
      <c r="D20" s="4" t="n">
        <v>1.05</v>
      </c>
    </row>
    <row r="21">
      <c r="A21" t="inlineStr">
        <is>
          <t>Shares Outstanding (Millions)</t>
        </is>
      </c>
      <c r="B21" s="4" t="n">
        <v>1614</v>
      </c>
      <c r="C21" s="4" t="n">
        <v>1677</v>
      </c>
      <c r="D21" s="4" t="n">
        <v>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AMD Cash Flow Statement (USD Millions)</t>
        </is>
      </c>
    </row>
    <row r="3">
      <c r="A3" s="3" t="inlineStr">
        <is>
          <t>Line Item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</row>
    <row r="4">
      <c r="A4" t="inlineStr">
        <is>
          <t>Net Income</t>
        </is>
      </c>
      <c r="B4" s="4" t="n">
        <v>1200</v>
      </c>
      <c r="C4" s="4" t="n">
        <v>2100</v>
      </c>
      <c r="D4" s="4" t="n">
        <v>1800</v>
      </c>
      <c r="E4" s="4" t="n">
        <v>2246</v>
      </c>
      <c r="F4" s="4" t="n">
        <v>2172</v>
      </c>
      <c r="G4" s="4" t="n">
        <v>2098</v>
      </c>
      <c r="H4" s="4" t="n">
        <v>2043</v>
      </c>
      <c r="I4" s="4" t="n">
        <v>2025</v>
      </c>
    </row>
    <row r="5">
      <c r="A5" t="inlineStr">
        <is>
          <t>Depreciation &amp; Amortization</t>
        </is>
      </c>
      <c r="B5" s="4" t="n">
        <v>700</v>
      </c>
      <c r="C5" s="4" t="n">
        <v>750</v>
      </c>
      <c r="D5" s="4" t="n">
        <v>800</v>
      </c>
    </row>
    <row r="6">
      <c r="A6" t="inlineStr">
        <is>
          <t>Stock-based Compensation</t>
        </is>
      </c>
      <c r="B6" s="4" t="n">
        <v>800</v>
      </c>
      <c r="C6" s="4" t="n">
        <v>900</v>
      </c>
      <c r="D6" s="4" t="n">
        <v>950</v>
      </c>
    </row>
    <row r="7">
      <c r="A7" t="inlineStr">
        <is>
          <t>Changes in Working Capital:</t>
        </is>
      </c>
      <c r="B7" t="inlineStr"/>
      <c r="C7" t="inlineStr"/>
      <c r="D7" t="inlineStr"/>
    </row>
    <row r="8">
      <c r="A8" t="inlineStr">
        <is>
          <t xml:space="preserve">  Accounts Receivable</t>
        </is>
      </c>
      <c r="B8" s="4" t="n">
        <v>-200</v>
      </c>
      <c r="C8" s="4" t="n">
        <v>-300</v>
      </c>
      <c r="D8" s="4" t="n">
        <v>-400</v>
      </c>
    </row>
    <row r="9">
      <c r="A9" t="inlineStr">
        <is>
          <t xml:space="preserve">  Inventory</t>
        </is>
      </c>
      <c r="B9" s="4" t="n">
        <v>-100</v>
      </c>
      <c r="C9" s="4" t="n">
        <v>-150</v>
      </c>
      <c r="D9" s="4" t="n">
        <v>-200</v>
      </c>
    </row>
    <row r="10">
      <c r="A10" t="inlineStr">
        <is>
          <t xml:space="preserve">  Accounts Payable</t>
        </is>
      </c>
      <c r="B10" s="4" t="n">
        <v>150</v>
      </c>
      <c r="C10" s="4" t="n">
        <v>200</v>
      </c>
      <c r="D10" s="4" t="n">
        <v>250</v>
      </c>
    </row>
    <row r="11">
      <c r="A11" t="inlineStr">
        <is>
          <t>Operating Cash Flow</t>
        </is>
      </c>
      <c r="B11" s="4" t="n">
        <v>2550</v>
      </c>
      <c r="C11" s="4" t="n">
        <v>3500</v>
      </c>
      <c r="D11" s="4" t="n">
        <v>3200</v>
      </c>
    </row>
    <row r="12">
      <c r="A12" t="inlineStr"/>
      <c r="B12" t="inlineStr"/>
      <c r="C12" t="inlineStr"/>
      <c r="D12" t="inlineStr"/>
    </row>
    <row r="13">
      <c r="A13" t="inlineStr">
        <is>
          <t>Capital Expenditures</t>
        </is>
      </c>
      <c r="B13" s="4" t="n">
        <v>-800</v>
      </c>
      <c r="C13" s="4" t="n">
        <v>-900</v>
      </c>
      <c r="D13" s="4" t="n">
        <v>-1000</v>
      </c>
    </row>
    <row r="14">
      <c r="A14" t="inlineStr">
        <is>
          <t>Purchase of Intangibles</t>
        </is>
      </c>
      <c r="B14" s="4" t="n">
        <v>-200</v>
      </c>
      <c r="C14" s="4" t="n">
        <v>-250</v>
      </c>
      <c r="D14" s="4" t="n">
        <v>-300</v>
      </c>
    </row>
    <row r="15">
      <c r="A15" t="inlineStr">
        <is>
          <t>Investment in Securities</t>
        </is>
      </c>
      <c r="B15" s="4" t="n">
        <v>-500</v>
      </c>
      <c r="C15" s="4" t="n">
        <v>-600</v>
      </c>
      <c r="D15" s="4" t="n">
        <v>-700</v>
      </c>
    </row>
    <row r="16">
      <c r="A16" t="inlineStr">
        <is>
          <t>Investing Cash Flow</t>
        </is>
      </c>
      <c r="B16" s="4" t="n">
        <v>-1500</v>
      </c>
      <c r="C16" s="4" t="n">
        <v>-1750</v>
      </c>
      <c r="D16" s="4" t="n">
        <v>-2000</v>
      </c>
    </row>
    <row r="17">
      <c r="A17" t="inlineStr"/>
      <c r="B17" t="inlineStr"/>
      <c r="C17" t="inlineStr"/>
      <c r="D17" t="inlineStr"/>
    </row>
    <row r="18">
      <c r="A18" t="inlineStr">
        <is>
          <t>Debt Issuance (Repayment)</t>
        </is>
      </c>
      <c r="B18" s="4" t="n">
        <v>0</v>
      </c>
      <c r="C18" s="4" t="n">
        <v>0</v>
      </c>
      <c r="D18" s="4" t="n">
        <v>0</v>
      </c>
    </row>
    <row r="19">
      <c r="A19" t="inlineStr">
        <is>
          <t>Stock Repurchase</t>
        </is>
      </c>
      <c r="B19" s="4" t="n">
        <v>-1500</v>
      </c>
      <c r="C19" s="4" t="n">
        <v>-2000</v>
      </c>
      <c r="D19" s="4" t="n">
        <v>-3000</v>
      </c>
    </row>
    <row r="20">
      <c r="A20" t="inlineStr">
        <is>
          <t>Dividends Paid</t>
        </is>
      </c>
      <c r="B20" s="4" t="n">
        <v>0</v>
      </c>
      <c r="C20" s="4" t="n">
        <v>0</v>
      </c>
      <c r="D20" s="4" t="n">
        <v>0</v>
      </c>
    </row>
    <row r="21">
      <c r="A21" t="inlineStr">
        <is>
          <t>Financing Cash Flow</t>
        </is>
      </c>
      <c r="B21" s="4" t="n">
        <v>-1500</v>
      </c>
      <c r="C21" s="4" t="n">
        <v>-2000</v>
      </c>
      <c r="D21" s="4" t="n">
        <v>-3000</v>
      </c>
    </row>
    <row r="22">
      <c r="A22" t="inlineStr"/>
      <c r="B22" t="inlineStr"/>
      <c r="C22" t="inlineStr"/>
      <c r="D22" t="inlineStr"/>
    </row>
    <row r="23">
      <c r="A23" t="inlineStr">
        <is>
          <t>Net Change in Cash</t>
        </is>
      </c>
      <c r="B23" s="4" t="n">
        <v>-450</v>
      </c>
      <c r="C23" s="4" t="n">
        <v>-250</v>
      </c>
      <c r="D23" s="4" t="n">
        <v>-1800</v>
      </c>
    </row>
    <row r="24">
      <c r="A24" t="inlineStr">
        <is>
          <t>Beginning Cash</t>
        </is>
      </c>
      <c r="B24" s="4" t="n">
        <v>5800</v>
      </c>
      <c r="C24" s="4" t="n">
        <v>5350</v>
      </c>
      <c r="D24" s="4" t="n">
        <v>5100</v>
      </c>
    </row>
    <row r="25">
      <c r="A25" t="inlineStr">
        <is>
          <t>Ending Cash</t>
        </is>
      </c>
      <c r="B25" s="4" t="n">
        <v>5350</v>
      </c>
      <c r="C25" s="4" t="n">
        <v>5100</v>
      </c>
      <c r="D25" s="4" t="n">
        <v>3300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AMD Balance Sheet (USD Millions)</t>
        </is>
      </c>
    </row>
    <row r="3">
      <c r="A3" s="3" t="inlineStr">
        <is>
          <t>Line Item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</row>
    <row r="4">
      <c r="A4" t="inlineStr">
        <is>
          <t>ASSETS</t>
        </is>
      </c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 xml:space="preserve">  Cash &amp; Cash Equivalents</t>
        </is>
      </c>
      <c r="B6" s="4" t="n">
        <v>5350</v>
      </c>
      <c r="C6" s="4" t="n">
        <v>5100</v>
      </c>
      <c r="D6" s="4" t="n">
        <v>3300</v>
      </c>
    </row>
    <row r="7">
      <c r="A7" t="inlineStr">
        <is>
          <t xml:space="preserve">  Short-term Investments</t>
        </is>
      </c>
      <c r="B7" s="4" t="n">
        <v>2000</v>
      </c>
      <c r="C7" s="4" t="n">
        <v>2200</v>
      </c>
      <c r="D7" s="4" t="n">
        <v>2500</v>
      </c>
    </row>
    <row r="8">
      <c r="A8" t="inlineStr">
        <is>
          <t xml:space="preserve">  Accounts Receivable</t>
        </is>
      </c>
      <c r="B8" s="4" t="n">
        <v>2200</v>
      </c>
      <c r="C8" s="4" t="n">
        <v>2500</v>
      </c>
      <c r="D8" s="4" t="n">
        <v>2900</v>
      </c>
    </row>
    <row r="9">
      <c r="A9" t="inlineStr">
        <is>
          <t xml:space="preserve">  Inventory</t>
        </is>
      </c>
      <c r="B9" s="4" t="n">
        <v>800</v>
      </c>
      <c r="C9" s="4" t="n">
        <v>900</v>
      </c>
      <c r="D9" s="4" t="n">
        <v>1000</v>
      </c>
    </row>
    <row r="10">
      <c r="A10" t="inlineStr">
        <is>
          <t xml:space="preserve">  Other Current Assets</t>
        </is>
      </c>
      <c r="B10" s="4" t="n">
        <v>500</v>
      </c>
      <c r="C10" s="4" t="n">
        <v>550</v>
      </c>
      <c r="D10" s="4" t="n">
        <v>600</v>
      </c>
    </row>
    <row r="11">
      <c r="A11" t="inlineStr">
        <is>
          <t>Total Current Assets</t>
        </is>
      </c>
      <c r="B11" s="4" t="n">
        <v>10850</v>
      </c>
      <c r="C11" s="4" t="n">
        <v>11250</v>
      </c>
      <c r="D11" s="4" t="n">
        <v>10300</v>
      </c>
    </row>
    <row r="12">
      <c r="A12" t="inlineStr"/>
      <c r="B12" t="inlineStr"/>
      <c r="C12" t="inlineStr"/>
      <c r="D12" t="inlineStr"/>
    </row>
    <row r="13">
      <c r="A13" t="inlineStr">
        <is>
          <t>Property, Plant &amp; Equipment</t>
        </is>
      </c>
      <c r="B13" s="4" t="n">
        <v>2500</v>
      </c>
      <c r="C13" s="4" t="n">
        <v>2700</v>
      </c>
      <c r="D13" s="4" t="n">
        <v>3200</v>
      </c>
    </row>
    <row r="14">
      <c r="A14" t="inlineStr">
        <is>
          <t>Intangible Assets (Net)</t>
        </is>
      </c>
      <c r="B14" s="4" t="n">
        <v>2800</v>
      </c>
      <c r="C14" s="4" t="n">
        <v>2600</v>
      </c>
      <c r="D14" s="4" t="n">
        <v>28000</v>
      </c>
    </row>
    <row r="15">
      <c r="A15" t="inlineStr">
        <is>
          <t>Goodwill</t>
        </is>
      </c>
      <c r="B15" s="4" t="n">
        <v>1650</v>
      </c>
      <c r="C15" s="4" t="n">
        <v>1650</v>
      </c>
      <c r="D15" s="4" t="n">
        <v>35800</v>
      </c>
    </row>
    <row r="16">
      <c r="A16" t="inlineStr">
        <is>
          <t>Other Long-term Assets</t>
        </is>
      </c>
      <c r="B16" s="4" t="n">
        <v>1500</v>
      </c>
      <c r="C16" s="4" t="n">
        <v>1600</v>
      </c>
      <c r="D16" s="4" t="n">
        <v>1800</v>
      </c>
    </row>
    <row r="17">
      <c r="A17" t="inlineStr">
        <is>
          <t>Total Assets</t>
        </is>
      </c>
      <c r="B17" s="4" t="n">
        <v>19300</v>
      </c>
      <c r="C17" s="4" t="n">
        <v>19750</v>
      </c>
      <c r="D17" s="4" t="n">
        <v>79100</v>
      </c>
    </row>
    <row r="18">
      <c r="A18" t="inlineStr"/>
      <c r="B18" t="inlineStr"/>
      <c r="C18" t="inlineStr"/>
      <c r="D18" t="inlineStr"/>
    </row>
    <row r="19">
      <c r="A19" t="inlineStr">
        <is>
          <t>LIABILITIES &amp; EQUITY</t>
        </is>
      </c>
      <c r="B19" t="inlineStr"/>
      <c r="C19" t="inlineStr"/>
      <c r="D19" t="inlineStr"/>
    </row>
    <row r="20">
      <c r="A20" t="inlineStr">
        <is>
          <t>Current Liabilities:</t>
        </is>
      </c>
      <c r="B20" t="inlineStr"/>
      <c r="C20" t="inlineStr"/>
      <c r="D20" t="inlineStr"/>
    </row>
    <row r="21">
      <c r="A21" t="inlineStr">
        <is>
          <t xml:space="preserve">  Accounts Payable</t>
        </is>
      </c>
      <c r="B21" s="4" t="n">
        <v>1800</v>
      </c>
      <c r="C21" s="4" t="n">
        <v>2000</v>
      </c>
      <c r="D21" s="4" t="n">
        <v>2200</v>
      </c>
    </row>
    <row r="22">
      <c r="A22" t="inlineStr">
        <is>
          <t xml:space="preserve">  Accrued Liabilities</t>
        </is>
      </c>
      <c r="B22" s="4" t="n">
        <v>1200</v>
      </c>
      <c r="C22" s="4" t="n">
        <v>1400</v>
      </c>
      <c r="D22" s="4" t="n">
        <v>1600</v>
      </c>
    </row>
    <row r="23">
      <c r="A23" t="inlineStr">
        <is>
          <t xml:space="preserve">  Short-term Debt</t>
        </is>
      </c>
      <c r="B23" s="4" t="n">
        <v>0</v>
      </c>
      <c r="C23" s="4" t="n">
        <v>0</v>
      </c>
      <c r="D23" s="4" t="n">
        <v>0</v>
      </c>
    </row>
    <row r="24">
      <c r="A24" t="inlineStr">
        <is>
          <t>Total Current Liabilities</t>
        </is>
      </c>
      <c r="B24" s="4" t="n">
        <v>3000</v>
      </c>
      <c r="C24" s="4" t="n">
        <v>3400</v>
      </c>
      <c r="D24" s="4" t="n">
        <v>3800</v>
      </c>
    </row>
    <row r="25">
      <c r="A25" t="inlineStr"/>
      <c r="B25" t="inlineStr"/>
      <c r="C25" t="inlineStr"/>
      <c r="D25" t="inlineStr"/>
    </row>
    <row r="26">
      <c r="A26" t="inlineStr">
        <is>
          <t>Long-term Debt</t>
        </is>
      </c>
      <c r="B26" s="4" t="n">
        <v>0</v>
      </c>
      <c r="C26" s="4" t="n">
        <v>0</v>
      </c>
      <c r="D26" s="4" t="n">
        <v>0</v>
      </c>
    </row>
    <row r="27">
      <c r="A27" t="inlineStr">
        <is>
          <t>Other Long-term Liabilities</t>
        </is>
      </c>
      <c r="B27" s="4" t="n">
        <v>800</v>
      </c>
      <c r="C27" s="4" t="n">
        <v>900</v>
      </c>
      <c r="D27" s="4" t="n">
        <v>1000</v>
      </c>
    </row>
    <row r="28">
      <c r="A28" t="inlineStr">
        <is>
          <t>Total Liabilities</t>
        </is>
      </c>
      <c r="B28" s="4" t="n">
        <v>3800</v>
      </c>
      <c r="C28" s="4" t="n">
        <v>4300</v>
      </c>
      <c r="D28" s="4" t="n">
        <v>4800</v>
      </c>
    </row>
    <row r="29">
      <c r="A29" t="inlineStr"/>
      <c r="B29" t="inlineStr"/>
      <c r="C29" t="inlineStr"/>
      <c r="D29" t="inlineStr"/>
    </row>
    <row r="30">
      <c r="A30" t="inlineStr">
        <is>
          <t>Shareholders' Equity:</t>
        </is>
      </c>
      <c r="B30" t="inlineStr"/>
      <c r="C30" t="inlineStr"/>
      <c r="D30" t="inlineStr"/>
    </row>
    <row r="31">
      <c r="A31" t="inlineStr">
        <is>
          <t xml:space="preserve">  Common Stock</t>
        </is>
      </c>
      <c r="B31" s="4" t="n">
        <v>100</v>
      </c>
      <c r="C31" s="4" t="n">
        <v>100</v>
      </c>
      <c r="D31" s="4" t="n">
        <v>100</v>
      </c>
    </row>
    <row r="32">
      <c r="A32" t="inlineStr">
        <is>
          <t xml:space="preserve">  Additional Paid-in Capital</t>
        </is>
      </c>
      <c r="B32" s="4" t="n">
        <v>8500</v>
      </c>
      <c r="C32" s="4" t="n">
        <v>8700</v>
      </c>
      <c r="D32" s="4" t="n">
        <v>9000</v>
      </c>
    </row>
    <row r="33">
      <c r="A33" t="inlineStr">
        <is>
          <t xml:space="preserve">  Retained Earnings</t>
        </is>
      </c>
      <c r="B33" s="4" t="n">
        <v>7000</v>
      </c>
      <c r="C33" s="4" t="n">
        <v>7700</v>
      </c>
      <c r="D33" s="4" t="n">
        <v>10000</v>
      </c>
    </row>
    <row r="34">
      <c r="A34" t="inlineStr">
        <is>
          <t>Total Shareholders' Equity</t>
        </is>
      </c>
      <c r="B34" s="4" t="n">
        <v>15600</v>
      </c>
      <c r="C34" s="4" t="n">
        <v>16500</v>
      </c>
      <c r="D34" s="4" t="n">
        <v>19100</v>
      </c>
    </row>
    <row r="35">
      <c r="A35" t="inlineStr">
        <is>
          <t>Total Liabilities &amp; Equity</t>
        </is>
      </c>
      <c r="B35" s="4" t="n">
        <v>19300</v>
      </c>
      <c r="C35" s="4" t="n">
        <v>19750</v>
      </c>
      <c r="D35" s="4" t="n">
        <v>79100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AMD Scenario Analysis</t>
        </is>
      </c>
    </row>
    <row r="3">
      <c r="A3" s="2" t="inlineStr">
        <is>
          <t>Revenue Scenarios</t>
        </is>
      </c>
    </row>
    <row r="4">
      <c r="A4" s="3" t="inlineStr">
        <is>
          <t>Scenario</t>
        </is>
      </c>
      <c r="B4" s="3" t="inlineStr">
        <is>
          <t>FY2026E Revenue ($M)</t>
        </is>
      </c>
      <c r="C4" s="3" t="inlineStr">
        <is>
          <t>FY2027E Revenue ($M)</t>
        </is>
      </c>
      <c r="D4" s="3" t="inlineStr">
        <is>
          <t>FY2028E Revenue ($M)</t>
        </is>
      </c>
      <c r="E4" s="3" t="inlineStr">
        <is>
          <t>FY2029E Revenue ($M)</t>
        </is>
      </c>
      <c r="F4" s="3" t="inlineStr">
        <is>
          <t>FY2030E Revenue ($M)</t>
        </is>
      </c>
      <c r="G4" s="3" t="inlineStr">
        <is>
          <t>5-Year CAGR</t>
        </is>
      </c>
      <c r="H4" s="3" t="inlineStr">
        <is>
          <t>Key Drivers</t>
        </is>
      </c>
    </row>
    <row r="5">
      <c r="A5" t="inlineStr">
        <is>
          <t>Bull Case</t>
        </is>
      </c>
      <c r="B5" t="n">
        <v>35000</v>
      </c>
      <c r="C5" t="n">
        <v>43000</v>
      </c>
      <c r="D5" t="n">
        <v>51000</v>
      </c>
      <c r="E5" t="n">
        <v>59000</v>
      </c>
      <c r="F5" t="n">
        <v>67000</v>
      </c>
      <c r="G5" t="inlineStr">
        <is>
          <t>20%</t>
        </is>
      </c>
      <c r="H5" t="inlineStr">
        <is>
          <t>AI accelerator dominance</t>
        </is>
      </c>
    </row>
    <row r="6">
      <c r="A6" t="inlineStr">
        <is>
          <t>Base Case</t>
        </is>
      </c>
      <c r="B6" t="n">
        <v>32100</v>
      </c>
      <c r="C6" t="n">
        <v>37900</v>
      </c>
      <c r="D6" t="n">
        <v>43200</v>
      </c>
      <c r="E6" t="n">
        <v>48000</v>
      </c>
      <c r="F6" t="n">
        <v>52800</v>
      </c>
      <c r="G6" t="inlineStr">
        <is>
          <t>15%</t>
        </is>
      </c>
      <c r="H6" t="inlineStr">
        <is>
          <t>Steady server growth</t>
        </is>
      </c>
    </row>
    <row r="7">
      <c r="A7" t="inlineStr">
        <is>
          <t>Bear Case</t>
        </is>
      </c>
      <c r="B7" t="n">
        <v>28000</v>
      </c>
      <c r="C7" t="n">
        <v>31000</v>
      </c>
      <c r="D7" t="n">
        <v>34000</v>
      </c>
      <c r="E7" t="n">
        <v>36500</v>
      </c>
      <c r="F7" t="n">
        <v>39000</v>
      </c>
      <c r="G7" t="inlineStr">
        <is>
          <t>8%</t>
        </is>
      </c>
      <c r="H7" t="inlineStr">
        <is>
          <t>Intel recovery + GPU competition</t>
        </is>
      </c>
    </row>
    <row r="13">
      <c r="A13" s="2" t="inlineStr">
        <is>
          <t>Margin Scenarios</t>
        </is>
      </c>
    </row>
    <row r="14">
      <c r="A14" s="3" t="inlineStr">
        <is>
          <t>Scenario</t>
        </is>
      </c>
      <c r="B14" s="3" t="inlineStr">
        <is>
          <t>Gross Margin FY2026E</t>
        </is>
      </c>
      <c r="C14" s="3" t="inlineStr">
        <is>
          <t>Gross Margin FY2030E</t>
        </is>
      </c>
      <c r="D14" s="3" t="inlineStr">
        <is>
          <t>Operating Margin FY2026E</t>
        </is>
      </c>
      <c r="E14" s="3" t="inlineStr">
        <is>
          <t>Operating Margin FY2030E</t>
        </is>
      </c>
    </row>
    <row r="15">
      <c r="A15" t="inlineStr">
        <is>
          <t>Bull Case</t>
        </is>
      </c>
      <c r="B15" t="inlineStr">
        <is>
          <t>56%</t>
        </is>
      </c>
      <c r="C15" t="inlineStr">
        <is>
          <t>58%</t>
        </is>
      </c>
      <c r="D15" t="inlineStr">
        <is>
          <t>16%</t>
        </is>
      </c>
      <c r="E15" t="inlineStr">
        <is>
          <t>22%</t>
        </is>
      </c>
    </row>
    <row r="16">
      <c r="A16" t="inlineStr">
        <is>
          <t>Base Case</t>
        </is>
      </c>
      <c r="B16" t="inlineStr">
        <is>
          <t>53%</t>
        </is>
      </c>
      <c r="C16" t="inlineStr">
        <is>
          <t>55%</t>
        </is>
      </c>
      <c r="D16" t="inlineStr">
        <is>
          <t>13%</t>
        </is>
      </c>
      <c r="E16" t="inlineStr">
        <is>
          <t>17%</t>
        </is>
      </c>
    </row>
    <row r="17">
      <c r="A17" t="inlineStr">
        <is>
          <t>Bear Case</t>
        </is>
      </c>
      <c r="B17" t="inlineStr">
        <is>
          <t>50%</t>
        </is>
      </c>
      <c r="C17" t="inlineStr">
        <is>
          <t>52%</t>
        </is>
      </c>
      <c r="D17" t="inlineStr">
        <is>
          <t>9%</t>
        </is>
      </c>
      <c r="E17" t="inlineStr">
        <is>
          <t>12%</t>
        </is>
      </c>
    </row>
    <row r="21">
      <c r="A21" s="2" t="inlineStr">
        <is>
          <t>Valuation Scenarios</t>
        </is>
      </c>
    </row>
    <row r="22">
      <c r="A22" s="3" t="inlineStr">
        <is>
          <t>Scenario</t>
        </is>
      </c>
      <c r="B22" s="3" t="inlineStr">
        <is>
          <t>Target P/E</t>
        </is>
      </c>
      <c r="C22" s="3" t="inlineStr">
        <is>
          <t>FY2026E EPS</t>
        </is>
      </c>
      <c r="D22" s="3" t="inlineStr">
        <is>
          <t>Price Target</t>
        </is>
      </c>
      <c r="E22" s="3" t="inlineStr">
        <is>
          <t>Upside/Downside</t>
        </is>
      </c>
    </row>
    <row r="23">
      <c r="A23" t="inlineStr">
        <is>
          <t>Bull Case</t>
        </is>
      </c>
      <c r="B23" t="inlineStr">
        <is>
          <t>35x</t>
        </is>
      </c>
      <c r="C23" t="inlineStr">
        <is>
          <t>$2.50</t>
        </is>
      </c>
      <c r="D23" t="inlineStr">
        <is>
          <t>$87.50</t>
        </is>
      </c>
      <c r="E23" t="inlineStr">
        <is>
          <t>+45%</t>
        </is>
      </c>
    </row>
    <row r="24">
      <c r="A24" t="inlineStr">
        <is>
          <t>Base Case</t>
        </is>
      </c>
      <c r="B24" t="inlineStr">
        <is>
          <t>28x</t>
        </is>
      </c>
      <c r="C24" t="inlineStr">
        <is>
          <t>$1.80</t>
        </is>
      </c>
      <c r="D24" t="inlineStr">
        <is>
          <t>$50.40</t>
        </is>
      </c>
      <c r="E24" t="inlineStr">
        <is>
          <t>-10%</t>
        </is>
      </c>
    </row>
    <row r="25">
      <c r="A25" t="inlineStr">
        <is>
          <t>Bear Case</t>
        </is>
      </c>
      <c r="B25" t="inlineStr">
        <is>
          <t>20x</t>
        </is>
      </c>
      <c r="C25" t="inlineStr">
        <is>
          <t>$1.20</t>
        </is>
      </c>
      <c r="D25" t="inlineStr">
        <is>
          <t>$24.00</t>
        </is>
      </c>
      <c r="E25" t="inlineStr">
        <is>
          <t>-55%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AMD DCF Model Inputs</t>
        </is>
      </c>
    </row>
    <row r="3">
      <c r="A3" s="2" t="inlineStr">
        <is>
          <t>DCF Key Inputs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Notes</t>
        </is>
      </c>
    </row>
    <row r="5">
      <c r="A5" t="inlineStr">
        <is>
          <t>Projection Period</t>
        </is>
      </c>
      <c r="B5" s="4" t="inlineStr">
        <is>
          <t>5 years</t>
        </is>
      </c>
      <c r="C5" t="inlineStr">
        <is>
          <t>FY2026-FY2030</t>
        </is>
      </c>
    </row>
    <row r="6">
      <c r="A6" t="inlineStr">
        <is>
          <t>Terminal Growth Rate</t>
        </is>
      </c>
      <c r="B6" s="4" t="inlineStr">
        <is>
          <t>3.0%</t>
        </is>
      </c>
      <c r="C6" t="inlineStr">
        <is>
          <t>Long-term GDP growth proxy</t>
        </is>
      </c>
    </row>
    <row r="7">
      <c r="A7" t="inlineStr">
        <is>
          <t>WACC (Base)</t>
        </is>
      </c>
      <c r="B7" s="4" t="inlineStr">
        <is>
          <t>10.0%</t>
        </is>
      </c>
      <c r="C7" t="inlineStr">
        <is>
          <t>Base case weighted avg</t>
        </is>
      </c>
    </row>
    <row r="8">
      <c r="A8" t="inlineStr">
        <is>
          <t>WACC (Low)</t>
        </is>
      </c>
      <c r="B8" s="4" t="inlineStr">
        <is>
          <t>8.5%</t>
        </is>
      </c>
      <c r="C8" t="inlineStr">
        <is>
          <t>Better case</t>
        </is>
      </c>
    </row>
    <row r="9">
      <c r="A9" t="inlineStr">
        <is>
          <t>WACC (High)</t>
        </is>
      </c>
      <c r="B9" s="4" t="inlineStr">
        <is>
          <t>12.0%</t>
        </is>
      </c>
      <c r="C9" t="inlineStr">
        <is>
          <t>Worse case</t>
        </is>
      </c>
    </row>
    <row r="10">
      <c r="A10" t="inlineStr">
        <is>
          <t>Tax Rate</t>
        </is>
      </c>
      <c r="B10" s="4" t="inlineStr">
        <is>
          <t>20%</t>
        </is>
      </c>
      <c r="C10" t="inlineStr">
        <is>
          <t>Effective tax rate</t>
        </is>
      </c>
    </row>
    <row r="11">
      <c r="A11" t="inlineStr">
        <is>
          <t>Shares Outstanding (M)</t>
        </is>
      </c>
      <c r="B11" s="4" t="n">
        <v>1715</v>
      </c>
      <c r="C11" t="inlineStr">
        <is>
          <t>As of FY2025</t>
        </is>
      </c>
    </row>
    <row r="12">
      <c r="A12" t="inlineStr">
        <is>
          <t>Current Stock Price</t>
        </is>
      </c>
      <c r="B12" s="4" t="n">
        <v>204.91</v>
      </c>
      <c r="C12" t="inlineStr">
        <is>
          <t>As of Feb 2026</t>
        </is>
      </c>
    </row>
    <row r="13">
      <c r="A13" t="inlineStr">
        <is>
          <t>Net Debt (Cash)</t>
        </is>
      </c>
      <c r="B13" s="4" t="n">
        <v>-1500</v>
      </c>
      <c r="C13" t="inlineStr">
        <is>
          <t>Net cash position</t>
        </is>
      </c>
    </row>
    <row r="16">
      <c r="A16" s="2" t="inlineStr">
        <is>
          <t>Unlevered Free Cash Flow Projections (Base Case)</t>
        </is>
      </c>
    </row>
    <row r="17">
      <c r="A17" s="3" t="inlineStr">
        <is>
          <t>Year</t>
        </is>
      </c>
      <c r="B17" s="3" t="inlineStr">
        <is>
          <t>EBIT</t>
        </is>
      </c>
      <c r="C17" s="3" t="inlineStr">
        <is>
          <t>Tax @ 20%</t>
        </is>
      </c>
      <c r="D17" s="3" t="inlineStr">
        <is>
          <t>NOPAT</t>
        </is>
      </c>
      <c r="E17" s="3" t="inlineStr">
        <is>
          <t>D&amp;A</t>
        </is>
      </c>
      <c r="F17" s="3" t="inlineStr">
        <is>
          <t>Capex</t>
        </is>
      </c>
      <c r="G17" s="3" t="inlineStr">
        <is>
          <t>Change in NWC</t>
        </is>
      </c>
      <c r="H17" s="3" t="inlineStr">
        <is>
          <t>Unlevered FCF</t>
        </is>
      </c>
    </row>
    <row r="18">
      <c r="A18" t="inlineStr">
        <is>
          <t>FY2026E</t>
        </is>
      </c>
      <c r="B18" s="4" t="n">
        <v>4200</v>
      </c>
      <c r="C18" s="4" t="n">
        <v>840</v>
      </c>
      <c r="D18" s="4" t="n">
        <v>3360</v>
      </c>
      <c r="E18" s="4" t="n">
        <v>850</v>
      </c>
      <c r="F18" s="4" t="n">
        <v>-1200</v>
      </c>
      <c r="G18" s="4" t="n">
        <v>-200</v>
      </c>
      <c r="H18" s="4" t="n">
        <v>2810</v>
      </c>
    </row>
    <row r="19">
      <c r="A19" t="inlineStr">
        <is>
          <t>FY2027E</t>
        </is>
      </c>
      <c r="B19" s="4" t="n">
        <v>5100</v>
      </c>
      <c r="C19" s="4" t="n">
        <v>1020</v>
      </c>
      <c r="D19" s="4" t="n">
        <v>4080</v>
      </c>
      <c r="E19" s="4" t="n">
        <v>900</v>
      </c>
      <c r="F19" s="4" t="n">
        <v>-1400</v>
      </c>
      <c r="G19" s="4" t="n">
        <v>-150</v>
      </c>
      <c r="H19" s="4" t="n">
        <v>3430</v>
      </c>
    </row>
    <row r="20">
      <c r="A20" t="inlineStr">
        <is>
          <t>FY2028E</t>
        </is>
      </c>
      <c r="B20" s="4" t="n">
        <v>6000</v>
      </c>
      <c r="C20" s="4" t="n">
        <v>1200</v>
      </c>
      <c r="D20" s="4" t="n">
        <v>4800</v>
      </c>
      <c r="E20" s="4" t="n">
        <v>950</v>
      </c>
      <c r="F20" s="4" t="n">
        <v>-1500</v>
      </c>
      <c r="G20" s="4" t="n">
        <v>-100</v>
      </c>
      <c r="H20" s="4" t="n">
        <v>4150</v>
      </c>
    </row>
    <row r="21">
      <c r="A21" t="inlineStr">
        <is>
          <t>FY2029E</t>
        </is>
      </c>
      <c r="B21" s="4" t="n">
        <v>7000</v>
      </c>
      <c r="C21" s="4" t="n">
        <v>1400</v>
      </c>
      <c r="D21" s="4" t="n">
        <v>5600</v>
      </c>
      <c r="E21" s="4" t="n">
        <v>1000</v>
      </c>
      <c r="F21" s="4" t="n">
        <v>-1600</v>
      </c>
      <c r="G21" s="4" t="n">
        <v>-100</v>
      </c>
      <c r="H21" s="4" t="n">
        <v>4900</v>
      </c>
    </row>
    <row r="22">
      <c r="A22" t="inlineStr">
        <is>
          <t>FY2030E</t>
        </is>
      </c>
      <c r="B22" s="4" t="n">
        <v>8200</v>
      </c>
      <c r="C22" s="4" t="n">
        <v>1640</v>
      </c>
      <c r="D22" s="4" t="n">
        <v>6560</v>
      </c>
      <c r="E22" s="4" t="n">
        <v>1050</v>
      </c>
      <c r="F22" s="4" t="n">
        <v>-1700</v>
      </c>
      <c r="G22" s="4" t="n">
        <v>-100</v>
      </c>
      <c r="H22" s="4" t="n">
        <v>5810</v>
      </c>
    </row>
    <row r="27">
      <c r="A27" s="2" t="inlineStr">
        <is>
          <t>Terminal Value Calculation</t>
        </is>
      </c>
    </row>
    <row r="28">
      <c r="A28" s="3" t="inlineStr">
        <is>
          <t>Item</t>
        </is>
      </c>
      <c r="B28" s="3" t="inlineStr">
        <is>
          <t>Value</t>
        </is>
      </c>
    </row>
    <row r="29">
      <c r="A29" t="inlineStr">
        <is>
          <t>Terminal Year FCF</t>
        </is>
      </c>
      <c r="B29" t="inlineStr">
        <is>
          <t>$5,810M</t>
        </is>
      </c>
    </row>
    <row r="30">
      <c r="A30" t="inlineStr">
        <is>
          <t>Terminal Growth Rate</t>
        </is>
      </c>
      <c r="B30" t="inlineStr">
        <is>
          <t>3.0%</t>
        </is>
      </c>
    </row>
    <row r="31">
      <c r="A31" t="inlineStr">
        <is>
          <t>WACC</t>
        </is>
      </c>
      <c r="B31" t="inlineStr">
        <is>
          <t>10.0%</t>
        </is>
      </c>
    </row>
    <row r="32">
      <c r="A32" t="inlineStr">
        <is>
          <t>Terminal Value</t>
        </is>
      </c>
      <c r="B32">
        <f>E29*(1+0.03)/(0.10-0.03)</f>
        <v/>
      </c>
    </row>
    <row r="33">
      <c r="A33" t="inlineStr">
        <is>
          <t>PV of Terminal Value</t>
        </is>
      </c>
      <c r="B33">
        <f>D29/((1+0.10)^5)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2026-02-26T14:56:21Z</dcterms:created>
  <dcterms:modified xmlns:dcterms="http://purl.org/dc/terms/" xmlns:xsi="http://www.w3.org/2001/XMLSchema-instance" xsi:type="dcterms:W3CDTF">2026-02-26T14:56:21Z</dcterms:modified>
</cp:coreProperties>
</file>