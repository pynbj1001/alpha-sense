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ynbj\OneDrive\1.积累要看的文件\1. 投资框架\11.投资机会跟踪报告\"/>
    </mc:Choice>
  </mc:AlternateContent>
  <xr:revisionPtr revIDLastSave="0" documentId="13_ncr:1_{354AC205-ED5D-48EA-883C-5A54578EE61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监控主表" sheetId="1" r:id="rId1"/>
    <sheet name="多哈报价" sheetId="3" r:id="rId2"/>
    <sheet name="数据来源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8" i="1" s="1"/>
  <c r="J8" i="1" s="1"/>
  <c r="K8" i="1" s="1"/>
  <c r="G78" i="1"/>
  <c r="F78" i="1"/>
  <c r="J78" i="1" s="1"/>
  <c r="K78" i="1" s="1"/>
  <c r="J77" i="1"/>
  <c r="K77" i="1" s="1"/>
  <c r="H77" i="1"/>
  <c r="H78" i="1" s="1"/>
  <c r="G76" i="1"/>
  <c r="F76" i="1"/>
  <c r="J76" i="1" s="1"/>
  <c r="K76" i="1" s="1"/>
  <c r="J75" i="1"/>
  <c r="K75" i="1" s="1"/>
  <c r="H75" i="1"/>
  <c r="H76" i="1" s="1"/>
  <c r="J74" i="1"/>
  <c r="K74" i="1" s="1"/>
  <c r="G74" i="1"/>
  <c r="F74" i="1"/>
  <c r="J73" i="1"/>
  <c r="K73" i="1" s="1"/>
  <c r="H73" i="1"/>
  <c r="H74" i="1" s="1"/>
  <c r="J72" i="1"/>
  <c r="K72" i="1" s="1"/>
  <c r="G72" i="1"/>
  <c r="F72" i="1"/>
  <c r="J71" i="1"/>
  <c r="K71" i="1" s="1"/>
  <c r="H71" i="1"/>
  <c r="H72" i="1" s="1"/>
  <c r="J70" i="1"/>
  <c r="K70" i="1" s="1"/>
  <c r="G70" i="1"/>
  <c r="F70" i="1"/>
  <c r="J69" i="1"/>
  <c r="K69" i="1" s="1"/>
  <c r="H69" i="1"/>
  <c r="H70" i="1" s="1"/>
  <c r="H68" i="1"/>
  <c r="G68" i="1"/>
  <c r="J68" i="1" s="1"/>
  <c r="K68" i="1" s="1"/>
  <c r="F68" i="1"/>
  <c r="J67" i="1"/>
  <c r="K67" i="1" s="1"/>
  <c r="H67" i="1"/>
  <c r="H66" i="1"/>
  <c r="G66" i="1"/>
  <c r="J66" i="1" s="1"/>
  <c r="K66" i="1" s="1"/>
  <c r="F66" i="1"/>
  <c r="J65" i="1"/>
  <c r="K65" i="1" s="1"/>
  <c r="H65" i="1"/>
  <c r="H64" i="1"/>
  <c r="G64" i="1"/>
  <c r="F64" i="1"/>
  <c r="J64" i="1" s="1"/>
  <c r="K64" i="1" s="1"/>
  <c r="K63" i="1"/>
  <c r="J63" i="1"/>
  <c r="H63" i="1"/>
  <c r="H62" i="1"/>
  <c r="G62" i="1"/>
  <c r="F62" i="1"/>
  <c r="J62" i="1" s="1"/>
  <c r="K62" i="1" s="1"/>
  <c r="J61" i="1"/>
  <c r="K61" i="1" s="1"/>
  <c r="H61" i="1"/>
  <c r="G60" i="1"/>
  <c r="F60" i="1"/>
  <c r="J60" i="1" s="1"/>
  <c r="K60" i="1" s="1"/>
  <c r="J59" i="1"/>
  <c r="K59" i="1" s="1"/>
  <c r="H59" i="1"/>
  <c r="H60" i="1" s="1"/>
  <c r="G58" i="1"/>
  <c r="F58" i="1"/>
  <c r="J58" i="1" s="1"/>
  <c r="K58" i="1" s="1"/>
  <c r="J57" i="1"/>
  <c r="K57" i="1" s="1"/>
  <c r="H57" i="1"/>
  <c r="H58" i="1" s="1"/>
  <c r="K56" i="1"/>
  <c r="J56" i="1"/>
  <c r="H56" i="1"/>
  <c r="G56" i="1"/>
  <c r="F56" i="1"/>
  <c r="J55" i="1"/>
  <c r="K55" i="1" s="1"/>
  <c r="H55" i="1"/>
  <c r="J54" i="1"/>
  <c r="K54" i="1" s="1"/>
  <c r="G54" i="1"/>
  <c r="F54" i="1"/>
  <c r="J53" i="1"/>
  <c r="K53" i="1" s="1"/>
  <c r="H53" i="1"/>
  <c r="H54" i="1" s="1"/>
  <c r="J52" i="1"/>
  <c r="K52" i="1" s="1"/>
  <c r="H52" i="1"/>
  <c r="G52" i="1"/>
  <c r="F52" i="1"/>
  <c r="J51" i="1"/>
  <c r="K51" i="1" s="1"/>
  <c r="H51" i="1"/>
  <c r="H50" i="1"/>
  <c r="G50" i="1"/>
  <c r="J50" i="1" s="1"/>
  <c r="K50" i="1" s="1"/>
  <c r="F50" i="1"/>
  <c r="J49" i="1"/>
  <c r="K49" i="1" s="1"/>
  <c r="H49" i="1"/>
  <c r="H48" i="1"/>
  <c r="G48" i="1"/>
  <c r="F48" i="1"/>
  <c r="J48" i="1" s="1"/>
  <c r="K48" i="1" s="1"/>
  <c r="J47" i="1"/>
  <c r="K47" i="1" s="1"/>
  <c r="H47" i="1"/>
  <c r="H46" i="1"/>
  <c r="G46" i="1"/>
  <c r="F46" i="1"/>
  <c r="J46" i="1" s="1"/>
  <c r="K46" i="1" s="1"/>
  <c r="K45" i="1"/>
  <c r="J45" i="1"/>
  <c r="H45" i="1"/>
  <c r="H44" i="1"/>
  <c r="G44" i="1"/>
  <c r="F44" i="1"/>
  <c r="J44" i="1" s="1"/>
  <c r="K44" i="1" s="1"/>
  <c r="J43" i="1"/>
  <c r="K43" i="1" s="1"/>
  <c r="H43" i="1"/>
  <c r="G42" i="1"/>
  <c r="F42" i="1"/>
  <c r="J42" i="1" s="1"/>
  <c r="K42" i="1" s="1"/>
  <c r="J41" i="1"/>
  <c r="K41" i="1" s="1"/>
  <c r="H41" i="1"/>
  <c r="H42" i="1" s="1"/>
  <c r="G40" i="1"/>
  <c r="F40" i="1"/>
  <c r="J40" i="1" s="1"/>
  <c r="K40" i="1" s="1"/>
  <c r="J39" i="1"/>
  <c r="K39" i="1" s="1"/>
  <c r="H39" i="1"/>
  <c r="H40" i="1" s="1"/>
  <c r="K38" i="1"/>
  <c r="J38" i="1"/>
  <c r="H38" i="1"/>
  <c r="G38" i="1"/>
  <c r="F38" i="1"/>
  <c r="J37" i="1"/>
  <c r="K37" i="1" s="1"/>
  <c r="H37" i="1"/>
  <c r="J36" i="1"/>
  <c r="K36" i="1" s="1"/>
  <c r="G36" i="1"/>
  <c r="F36" i="1"/>
  <c r="J35" i="1"/>
  <c r="K35" i="1" s="1"/>
  <c r="H35" i="1"/>
  <c r="H36" i="1" s="1"/>
  <c r="J34" i="1"/>
  <c r="K34" i="1" s="1"/>
  <c r="H34" i="1"/>
  <c r="G34" i="1"/>
  <c r="F34" i="1"/>
  <c r="J33" i="1"/>
  <c r="K33" i="1" s="1"/>
  <c r="H33" i="1"/>
  <c r="H32" i="1"/>
  <c r="G32" i="1"/>
  <c r="J32" i="1" s="1"/>
  <c r="K32" i="1" s="1"/>
  <c r="F32" i="1"/>
  <c r="J31" i="1"/>
  <c r="K31" i="1" s="1"/>
  <c r="H31" i="1"/>
  <c r="H30" i="1"/>
  <c r="G30" i="1"/>
  <c r="F30" i="1"/>
  <c r="J30" i="1" s="1"/>
  <c r="K30" i="1" s="1"/>
  <c r="J29" i="1"/>
  <c r="K29" i="1" s="1"/>
  <c r="H29" i="1"/>
  <c r="H28" i="1"/>
  <c r="G28" i="1"/>
  <c r="F28" i="1"/>
  <c r="J28" i="1" s="1"/>
  <c r="K28" i="1" s="1"/>
  <c r="K27" i="1"/>
  <c r="J27" i="1"/>
  <c r="H27" i="1"/>
  <c r="H26" i="1"/>
  <c r="G26" i="1"/>
  <c r="F26" i="1"/>
  <c r="J26" i="1" s="1"/>
  <c r="K26" i="1" s="1"/>
  <c r="J25" i="1"/>
  <c r="K25" i="1" s="1"/>
  <c r="H25" i="1"/>
  <c r="G24" i="1"/>
  <c r="F24" i="1"/>
  <c r="J24" i="1" s="1"/>
  <c r="K24" i="1" s="1"/>
  <c r="J23" i="1"/>
  <c r="K23" i="1" s="1"/>
  <c r="H23" i="1"/>
  <c r="H24" i="1" s="1"/>
  <c r="G22" i="1"/>
  <c r="F22" i="1"/>
  <c r="J22" i="1" s="1"/>
  <c r="K22" i="1" s="1"/>
  <c r="J21" i="1"/>
  <c r="K21" i="1" s="1"/>
  <c r="H21" i="1"/>
  <c r="H22" i="1" s="1"/>
  <c r="K20" i="1"/>
  <c r="J20" i="1"/>
  <c r="H20" i="1"/>
  <c r="G20" i="1"/>
  <c r="F20" i="1"/>
  <c r="J19" i="1"/>
  <c r="K19" i="1" s="1"/>
  <c r="H19" i="1"/>
  <c r="J18" i="1"/>
  <c r="K18" i="1" s="1"/>
  <c r="G18" i="1"/>
  <c r="F18" i="1"/>
  <c r="J17" i="1"/>
  <c r="K17" i="1" s="1"/>
  <c r="H17" i="1"/>
  <c r="H18" i="1" s="1"/>
  <c r="J16" i="1"/>
  <c r="K16" i="1" s="1"/>
  <c r="H16" i="1"/>
  <c r="G16" i="1"/>
  <c r="F16" i="1"/>
  <c r="J15" i="1"/>
  <c r="K15" i="1" s="1"/>
  <c r="H15" i="1"/>
  <c r="G14" i="1"/>
  <c r="G12" i="1"/>
  <c r="G10" i="1"/>
  <c r="G8" i="1"/>
  <c r="F9" i="1" l="1"/>
  <c r="H7" i="1"/>
  <c r="H8" i="1" s="1"/>
  <c r="J7" i="1"/>
  <c r="K7" i="1" s="1"/>
  <c r="F10" i="1" l="1"/>
  <c r="J9" i="1"/>
  <c r="H9" i="1"/>
  <c r="H10" i="1" s="1"/>
  <c r="F80" i="1"/>
  <c r="K9" i="1" l="1"/>
  <c r="F11" i="1"/>
  <c r="J10" i="1"/>
  <c r="K10" i="1" s="1"/>
  <c r="G80" i="1" l="1"/>
  <c r="J11" i="1"/>
  <c r="K11" i="1" s="1"/>
  <c r="H11" i="1"/>
  <c r="H12" i="1" s="1"/>
  <c r="F12" i="1"/>
  <c r="F13" i="1" l="1"/>
  <c r="J12" i="1"/>
  <c r="K12" i="1" l="1"/>
  <c r="H80" i="1"/>
  <c r="H13" i="1"/>
  <c r="H14" i="1" s="1"/>
  <c r="F14" i="1"/>
  <c r="J14" i="1" s="1"/>
  <c r="K14" i="1" s="1"/>
  <c r="J13" i="1"/>
  <c r="I80" i="1" l="1"/>
  <c r="K13" i="1"/>
</calcChain>
</file>

<file path=xl/sharedStrings.xml><?xml version="1.0" encoding="utf-8"?>
<sst xmlns="http://schemas.openxmlformats.org/spreadsheetml/2006/main" count="283" uniqueCount="131">
  <si>
    <t>外币存款综合收益监控表（境外掉期+境外分行存款）</t>
  </si>
  <si>
    <t>更新：2026-02-26 17:07  |  汇率来源：FRED（T-1）</t>
  </si>
  <si>
    <t>SOFR基准(%)</t>
  </si>
  <si>
    <t>FRED/SOFR (2026-02-24)</t>
  </si>
  <si>
    <t>🟠橙色=无公开数据，向境外分行询价手动填入</t>
  </si>
  <si>
    <t>基本信息</t>
  </si>
  <si>
    <t>掉期数据（境外询价）</t>
  </si>
  <si>
    <t>境外存款</t>
  </si>
  <si>
    <t>综合收益（自动）</t>
  </si>
  <si>
    <t>备注</t>
  </si>
  <si>
    <t>序</t>
  </si>
  <si>
    <t>币种</t>
  </si>
  <si>
    <t>报价对</t>
  </si>
  <si>
    <t>期限</t>
  </si>
  <si>
    <t>天数</t>
  </si>
  <si>
    <t>即期
(Spot
FRED)</t>
  </si>
  <si>
    <t>远期
(Forward
CIP理论)</t>
  </si>
  <si>
    <t>掉期年化
(%)</t>
  </si>
  <si>
    <t>存款报价
(%)
★填询价</t>
  </si>
  <si>
    <t>综合USD
收益(%)</t>
  </si>
  <si>
    <t>较SOFR
利差(bp)</t>
  </si>
  <si>
    <t>数据来源</t>
  </si>
  <si>
    <t>分行/备注</t>
  </si>
  <si>
    <t>🟡黄-手填  🔵蓝-CIP参考  🟢绿-自动  🟠橙-询价</t>
  </si>
  <si>
    <t>EUR</t>
  </si>
  <si>
    <t>EUR/USD</t>
  </si>
  <si>
    <t>3M</t>
  </si>
  <si>
    <t>汇率:FRED/DEXUSEU
利率:ECB存款便利利率</t>
  </si>
  <si>
    <t>远期=CIP理论；掉期用实际报价覆盖</t>
  </si>
  <si>
    <t>6M</t>
  </si>
  <si>
    <t>9M</t>
  </si>
  <si>
    <t>12M</t>
  </si>
  <si>
    <t>GBP</t>
  </si>
  <si>
    <t>GBP/USD</t>
  </si>
  <si>
    <t>汇率:FRED/DEXUSUK
利率:BOE SONIA</t>
  </si>
  <si>
    <t>AUD</t>
  </si>
  <si>
    <t>AUD/USD</t>
  </si>
  <si>
    <t>汇率:FRED/DEXUSAL
利率:AUD 3M Interbank</t>
  </si>
  <si>
    <t>NZD</t>
  </si>
  <si>
    <t>NZD/USD</t>
  </si>
  <si>
    <t>汇率:FRED/DEXUSNZ
利率:NZD 3M Interbank</t>
  </si>
  <si>
    <t>CAD</t>
  </si>
  <si>
    <t>USD/CAD</t>
  </si>
  <si>
    <t>汇率:FRED/DEXCAUS
利率:CAD 3M Interbank</t>
  </si>
  <si>
    <t>CHF</t>
  </si>
  <si>
    <t>USD/CHF</t>
  </si>
  <si>
    <t>汇率:FRED/DEXSZUS
利率:CHF 3M Interbank</t>
  </si>
  <si>
    <t>JPY</t>
  </si>
  <si>
    <t>USD/JPY</t>
  </si>
  <si>
    <t>汇率:FRED/DEXJPUS
利率:BOJ政策利率</t>
  </si>
  <si>
    <t>HKD</t>
  </si>
  <si>
    <t>USD/HKD</t>
  </si>
  <si>
    <t>汇率:FRED/DEXHKUS
利率:HIBOR 3M</t>
  </si>
  <si>
    <t>SGD</t>
  </si>
  <si>
    <t>USD/SGD</t>
  </si>
  <si>
    <t>汇率:FRED/DEXSIUS
利率:SGD 3M Interbank</t>
  </si>
  <si>
    <t>◆ 各期限最高综合USD收益</t>
  </si>
  <si>
    <t>★ I列=公开基准参考，用实际询价覆盖后结果更准确</t>
  </si>
  <si>
    <t>实时抓取明细 — 2026-02-26 17:07</t>
  </si>
  <si>
    <t>类别</t>
  </si>
  <si>
    <t>抓取值</t>
  </si>
  <si>
    <t>数据日期</t>
  </si>
  <si>
    <t>状态</t>
  </si>
  <si>
    <t>来源</t>
  </si>
  <si>
    <t>基准利率</t>
  </si>
  <si>
    <t>SOFR</t>
  </si>
  <si>
    <t>3.6700%</t>
  </si>
  <si>
    <t>2026-02-24</t>
  </si>
  <si>
    <t>OK</t>
  </si>
  <si>
    <t>FRED/SOFR</t>
  </si>
  <si>
    <t>即期</t>
  </si>
  <si>
    <t>1.1781</t>
  </si>
  <si>
    <t>2026-02-20</t>
  </si>
  <si>
    <t>FRED/DEXUSEU</t>
  </si>
  <si>
    <t>利率</t>
  </si>
  <si>
    <t>2.0000%</t>
  </si>
  <si>
    <t>2026-02-25</t>
  </si>
  <si>
    <t>ECB存款便利利率</t>
  </si>
  <si>
    <t>1.3500</t>
  </si>
  <si>
    <t>FRED/DEXUSUK</t>
  </si>
  <si>
    <t>3.7280%</t>
  </si>
  <si>
    <t>2026-02-23</t>
  </si>
  <si>
    <t>BOE SONIA</t>
  </si>
  <si>
    <t>0.7082</t>
  </si>
  <si>
    <t>FRED/DEXUSAL</t>
  </si>
  <si>
    <t>3.7700%</t>
  </si>
  <si>
    <t>2026-01-01</t>
  </si>
  <si>
    <t>AUD 3M Interbank</t>
  </si>
  <si>
    <t>0.5974</t>
  </si>
  <si>
    <t>FRED/DEXUSNZ</t>
  </si>
  <si>
    <t>2.5000%</t>
  </si>
  <si>
    <t>NZD 3M Interbank</t>
  </si>
  <si>
    <t>1.3688</t>
  </si>
  <si>
    <t>FRED/DEXCAUS</t>
  </si>
  <si>
    <t>2.1900%</t>
  </si>
  <si>
    <t>CAD 3M Interbank</t>
  </si>
  <si>
    <t>0.7756</t>
  </si>
  <si>
    <t>FRED/DEXSZUS</t>
  </si>
  <si>
    <t>-0.0372%</t>
  </si>
  <si>
    <t>CHF 3M Interbank</t>
  </si>
  <si>
    <t>154.99</t>
  </si>
  <si>
    <t>FRED/DEXJPUS</t>
  </si>
  <si>
    <t>0.3000%</t>
  </si>
  <si>
    <t>2023-12-01</t>
  </si>
  <si>
    <t>BOJ政策利率</t>
  </si>
  <si>
    <t>7.8148</t>
  </si>
  <si>
    <t>FRED/DEXHKUS</t>
  </si>
  <si>
    <t>4.5000%</t>
  </si>
  <si>
    <t>HIBOR估算</t>
  </si>
  <si>
    <t>HIBOR 3M</t>
  </si>
  <si>
    <t>1.2668</t>
  </si>
  <si>
    <t>FRED/DEXSIUS</t>
  </si>
  <si>
    <t>3.2500%</t>
  </si>
  <si>
    <t>SORA估算</t>
  </si>
  <si>
    <t>SGD 3M Interbank</t>
  </si>
  <si>
    <t>存款利率I列=公开基准参考，请向境外分行询价  远期G列=CIP理论值，请向掉期交易商询价</t>
  </si>
  <si>
    <t xml:space="preserve"> 分行②（示例，待询价）</t>
  </si>
  <si>
    <t>I列=需覆盖为实际询价</t>
    <phoneticPr fontId="23" type="noConversion"/>
  </si>
  <si>
    <t>期限 (Tenor)</t>
  </si>
  <si>
    <t>USD</t>
  </si>
  <si>
    <t>CNH</t>
  </si>
  <si>
    <t>Short week</t>
  </si>
  <si>
    <t>1 week</t>
  </si>
  <si>
    <t>2 weeks</t>
  </si>
  <si>
    <t>1 Mo</t>
  </si>
  <si>
    <t>2 Mo</t>
  </si>
  <si>
    <t>3 Mo</t>
  </si>
  <si>
    <t>6 Mo</t>
  </si>
  <si>
    <t>9 Mo</t>
  </si>
  <si>
    <t>12 Mo</t>
  </si>
  <si>
    <t>EURUSD.FX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</si>
</sst>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\+0.0&quot; bp&quot;;\-0.0&quot; bp&quot;;&quot;—&quot;"/>
    <numFmt numFmtId="178" formatCode="###,###,##0.0000"/>
  </numFmts>
  <fonts count="27" x14ac:knownFonts="1">
    <font>
      <sz val="11"/>
      <color theme="1"/>
      <name val="宋体"/>
      <family val="2"/>
      <scheme val="minor"/>
    </font>
    <font>
      <b/>
      <sz val="14"/>
      <color rgb="FF1F3864"/>
      <name val="微软雅黑"/>
      <family val="2"/>
      <charset val="134"/>
    </font>
    <font>
      <i/>
      <sz val="8"/>
      <color rgb="FF595959"/>
      <name val="微软雅黑"/>
      <family val="2"/>
      <charset val="134"/>
    </font>
    <font>
      <b/>
      <sz val="8"/>
      <color rgb="FF1F1F1F"/>
      <name val="微软雅黑"/>
      <family val="2"/>
      <charset val="134"/>
    </font>
    <font>
      <b/>
      <sz val="9"/>
      <color rgb="FFC00000"/>
      <name val="微软雅黑"/>
      <family val="2"/>
      <charset val="134"/>
    </font>
    <font>
      <i/>
      <sz val="8"/>
      <color rgb="FF1F1F1F"/>
      <name val="微软雅黑"/>
      <family val="2"/>
      <charset val="134"/>
    </font>
    <font>
      <b/>
      <sz val="8"/>
      <color rgb="FFE65100"/>
      <name val="微软雅黑"/>
      <family val="2"/>
      <charset val="134"/>
    </font>
    <font>
      <b/>
      <sz val="9"/>
      <color rgb="FFFFFFFF"/>
      <name val="微软雅黑"/>
      <family val="2"/>
      <charset val="134"/>
    </font>
    <font>
      <b/>
      <sz val="8"/>
      <color rgb="FFFFFFFF"/>
      <name val="微软雅黑"/>
      <family val="2"/>
      <charset val="134"/>
    </font>
    <font>
      <sz val="8"/>
      <color rgb="FF1F1F1F"/>
      <name val="微软雅黑"/>
      <family val="2"/>
      <charset val="134"/>
    </font>
    <font>
      <b/>
      <sz val="9"/>
      <color rgb="FF1F1F1F"/>
      <name val="微软雅黑"/>
      <family val="2"/>
      <charset val="134"/>
    </font>
    <font>
      <sz val="8"/>
      <color rgb="FF404040"/>
      <name val="微软雅黑"/>
      <family val="2"/>
      <charset val="134"/>
    </font>
    <font>
      <sz val="9"/>
      <color rgb="FF1F1F1F"/>
      <name val="微软雅黑"/>
      <family val="2"/>
      <charset val="134"/>
    </font>
    <font>
      <sz val="9"/>
      <color rgb="FF1A5276"/>
      <name val="微软雅黑"/>
      <family val="2"/>
      <charset val="134"/>
    </font>
    <font>
      <b/>
      <sz val="9"/>
      <color rgb="FF1B5E20"/>
      <name val="微软雅黑"/>
      <family val="2"/>
      <charset val="134"/>
    </font>
    <font>
      <b/>
      <sz val="9"/>
      <color rgb="FF1F3864"/>
      <name val="微软雅黑"/>
      <family val="2"/>
      <charset val="134"/>
    </font>
    <font>
      <i/>
      <sz val="7"/>
      <color rgb="FF595959"/>
      <name val="微软雅黑"/>
      <family val="2"/>
      <charset val="134"/>
    </font>
    <font>
      <sz val="8"/>
      <color rgb="FF7B1FA2"/>
      <name val="微软雅黑"/>
      <family val="2"/>
      <charset val="134"/>
    </font>
    <font>
      <i/>
      <sz val="7"/>
      <color rgb="FF7B1FA2"/>
      <name val="微软雅黑"/>
      <family val="2"/>
      <charset val="134"/>
    </font>
    <font>
      <i/>
      <sz val="8"/>
      <color rgb="FFE65100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b/>
      <sz val="12"/>
      <color rgb="FF1F3864"/>
      <name val="微软雅黑"/>
      <family val="2"/>
      <charset val="134"/>
    </font>
    <font>
      <sz val="9"/>
      <color rgb="FF1B5E20"/>
      <name val="微软雅黑"/>
      <family val="2"/>
      <charset val="134"/>
    </font>
    <font>
      <sz val="9"/>
      <name val="宋体"/>
      <family val="3"/>
      <charset val="134"/>
      <scheme val="minor"/>
    </font>
    <font>
      <sz val="8"/>
      <color rgb="FF7B1FA2"/>
      <name val="Cambria Math"/>
      <family val="1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EBF2FA"/>
      </patternFill>
    </fill>
    <fill>
      <patternFill patternType="solid">
        <fgColor rgb="FFFFFDE7"/>
      </patternFill>
    </fill>
    <fill>
      <patternFill patternType="solid">
        <fgColor rgb="FFFFE0B2"/>
      </patternFill>
    </fill>
    <fill>
      <patternFill patternType="solid">
        <fgColor rgb="FF1F3864"/>
      </patternFill>
    </fill>
    <fill>
      <patternFill patternType="solid">
        <fgColor rgb="FF2E5FA3"/>
      </patternFill>
    </fill>
    <fill>
      <patternFill patternType="solid">
        <fgColor rgb="FFE8F4FD"/>
      </patternFill>
    </fill>
    <fill>
      <patternFill patternType="solid">
        <fgColor rgb="FFF0FFF4"/>
      </patternFill>
    </fill>
    <fill>
      <patternFill patternType="solid">
        <fgColor rgb="FFF1F8E9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F5F9FF"/>
      </patternFill>
    </fill>
    <fill>
      <patternFill patternType="solid">
        <fgColor rgb="FFFFF3E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 applyAlignment="1">
      <alignment horizontal="right" vertical="center"/>
    </xf>
    <xf numFmtId="10" fontId="4" fillId="3" borderId="0" xfId="0" applyNumberFormat="1" applyFont="1" applyFill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76" fontId="12" fillId="3" borderId="1" xfId="0" applyNumberFormat="1" applyFont="1" applyFill="1" applyBorder="1" applyAlignment="1">
      <alignment horizontal="right" vertical="center"/>
    </xf>
    <xf numFmtId="176" fontId="13" fillId="7" borderId="1" xfId="0" applyNumberFormat="1" applyFont="1" applyFill="1" applyBorder="1" applyAlignment="1">
      <alignment horizontal="right" vertical="center"/>
    </xf>
    <xf numFmtId="10" fontId="12" fillId="8" borderId="1" xfId="0" applyNumberFormat="1" applyFont="1" applyFill="1" applyBorder="1" applyAlignment="1">
      <alignment horizontal="center" vertical="center"/>
    </xf>
    <xf numFmtId="10" fontId="14" fillId="9" borderId="1" xfId="0" applyNumberFormat="1" applyFont="1" applyFill="1" applyBorder="1" applyAlignment="1">
      <alignment horizontal="center" vertical="center"/>
    </xf>
    <xf numFmtId="10" fontId="15" fillId="8" borderId="1" xfId="0" applyNumberFormat="1" applyFont="1" applyFill="1" applyBorder="1" applyAlignment="1">
      <alignment horizontal="center" vertical="center"/>
    </xf>
    <xf numFmtId="177" fontId="12" fillId="8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1" fontId="9" fillId="10" borderId="1" xfId="0" applyNumberFormat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/>
    </xf>
    <xf numFmtId="1" fontId="9" fillId="10" borderId="2" xfId="0" applyNumberFormat="1" applyFont="1" applyFill="1" applyBorder="1" applyAlignment="1">
      <alignment horizontal="center" vertical="center"/>
    </xf>
    <xf numFmtId="176" fontId="12" fillId="3" borderId="2" xfId="0" applyNumberFormat="1" applyFont="1" applyFill="1" applyBorder="1" applyAlignment="1">
      <alignment horizontal="right" vertical="center"/>
    </xf>
    <xf numFmtId="176" fontId="13" fillId="7" borderId="2" xfId="0" applyNumberFormat="1" applyFont="1" applyFill="1" applyBorder="1" applyAlignment="1">
      <alignment horizontal="right" vertical="center"/>
    </xf>
    <xf numFmtId="10" fontId="12" fillId="8" borderId="2" xfId="0" applyNumberFormat="1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10" fontId="15" fillId="8" borderId="2" xfId="0" applyNumberFormat="1" applyFont="1" applyFill="1" applyBorder="1" applyAlignment="1">
      <alignment horizontal="center" vertical="center"/>
    </xf>
    <xf numFmtId="177" fontId="12" fillId="8" borderId="2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 wrapText="1"/>
    </xf>
    <xf numFmtId="2" fontId="12" fillId="3" borderId="1" xfId="0" applyNumberFormat="1" applyFont="1" applyFill="1" applyBorder="1" applyAlignment="1">
      <alignment horizontal="right" vertical="center"/>
    </xf>
    <xf numFmtId="2" fontId="13" fillId="7" borderId="1" xfId="0" applyNumberFormat="1" applyFont="1" applyFill="1" applyBorder="1" applyAlignment="1">
      <alignment horizontal="right" vertical="center"/>
    </xf>
    <xf numFmtId="2" fontId="12" fillId="3" borderId="2" xfId="0" applyNumberFormat="1" applyFont="1" applyFill="1" applyBorder="1" applyAlignment="1">
      <alignment horizontal="right" vertical="center"/>
    </xf>
    <xf numFmtId="2" fontId="13" fillId="7" borderId="2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10" fontId="20" fillId="12" borderId="1" xfId="0" applyNumberFormat="1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 wrapText="1" readingOrder="1"/>
    </xf>
    <xf numFmtId="10" fontId="25" fillId="0" borderId="3" xfId="0" applyNumberFormat="1" applyFont="1" applyBorder="1" applyAlignment="1">
      <alignment vertical="center" wrapText="1" readingOrder="1"/>
    </xf>
    <xf numFmtId="178" fontId="12" fillId="3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0" fillId="0" borderId="0" xfId="0"/>
    <xf numFmtId="0" fontId="7" fillId="6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19" fillId="15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center" vertical="center"/>
    </xf>
  </cellXfs>
  <cellStyles count="1">
    <cellStyle name="常规" xfId="0" builtinId="0"/>
  </cellStyles>
  <dxfs count="2">
    <dxf>
      <font>
        <b/>
        <sz val="9"/>
        <color rgb="FFB71C1C"/>
        <name val="微软雅黑"/>
      </font>
      <fill>
        <patternFill patternType="solid">
          <fgColor rgb="FFFFCDD2"/>
        </patternFill>
      </fill>
    </dxf>
    <dxf>
      <font>
        <b/>
        <sz val="9"/>
        <color rgb="FF1B5E20"/>
        <name val="微软雅黑"/>
      </font>
      <fill>
        <patternFill patternType="solid">
          <fgColor rgb="FFC8E6C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wdf.rtq">
      <tp>
        <v>1.18082</v>
        <stp/>
        <stp>EURUSD.FX</stp>
        <stp>LastPrice</stp>
        <tr r="F7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EC0FA8B-FBD3-4167-AFDA-0C894D594897}">
  <we:reference id="wa200009404" version="1.0.0.5" store="zh-CN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M80"/>
  <sheetViews>
    <sheetView showGridLines="0" tabSelected="1" workbookViewId="0">
      <pane xSplit="3" ySplit="6" topLeftCell="D7" activePane="bottomRight" state="frozen"/>
      <selection pane="topRight"/>
      <selection pane="bottomLeft"/>
      <selection pane="bottomRight" activeCell="K5" sqref="K5"/>
    </sheetView>
  </sheetViews>
  <sheetFormatPr defaultRowHeight="14.4" x14ac:dyDescent="0.25"/>
  <cols>
    <col min="1" max="1" width="5" customWidth="1"/>
    <col min="2" max="2" width="7" customWidth="1"/>
    <col min="3" max="3" width="9" customWidth="1"/>
    <col min="4" max="4" width="6" customWidth="1"/>
    <col min="5" max="5" width="10.6640625" bestFit="1" customWidth="1"/>
    <col min="6" max="6" width="12" customWidth="1"/>
    <col min="7" max="7" width="13" customWidth="1"/>
    <col min="8" max="8" width="11" customWidth="1"/>
    <col min="9" max="10" width="13" customWidth="1"/>
    <col min="11" max="11" width="11" customWidth="1"/>
    <col min="12" max="12" width="14" customWidth="1"/>
    <col min="13" max="13" width="22" customWidth="1"/>
  </cols>
  <sheetData>
    <row r="1" spans="1:13" ht="6" customHeight="1" x14ac:dyDescent="0.25"/>
    <row r="2" spans="1:13" ht="31.95" customHeight="1" x14ac:dyDescent="0.25">
      <c r="A2" s="51" t="s">
        <v>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1:13" ht="16.05" customHeight="1" x14ac:dyDescent="0.25">
      <c r="A3" s="53" t="s">
        <v>1</v>
      </c>
      <c r="B3" s="47"/>
      <c r="C3" s="47"/>
      <c r="D3" s="47"/>
      <c r="E3" s="1" t="s">
        <v>2</v>
      </c>
      <c r="F3" s="2">
        <v>3.6700000000000003E-2</v>
      </c>
      <c r="G3" s="46" t="s">
        <v>3</v>
      </c>
      <c r="H3" s="47"/>
      <c r="I3" s="49" t="s">
        <v>4</v>
      </c>
      <c r="J3" s="47"/>
      <c r="K3" s="47"/>
      <c r="L3" s="53" t="s">
        <v>117</v>
      </c>
      <c r="M3" s="47"/>
    </row>
    <row r="4" spans="1:13" ht="25.95" customHeight="1" x14ac:dyDescent="0.25">
      <c r="A4" s="54" t="s">
        <v>5</v>
      </c>
      <c r="B4" s="47"/>
      <c r="C4" s="47"/>
      <c r="D4" s="47"/>
      <c r="E4" s="47"/>
      <c r="F4" s="48" t="s">
        <v>6</v>
      </c>
      <c r="G4" s="47"/>
      <c r="H4" s="47"/>
      <c r="I4" s="48" t="s">
        <v>7</v>
      </c>
      <c r="J4" s="54" t="s">
        <v>8</v>
      </c>
      <c r="K4" s="47"/>
      <c r="L4" s="48" t="s">
        <v>9</v>
      </c>
      <c r="M4" s="47"/>
    </row>
    <row r="5" spans="1:13" ht="52.2" customHeight="1" x14ac:dyDescent="0.25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21</v>
      </c>
      <c r="M5" s="3" t="s">
        <v>22</v>
      </c>
    </row>
    <row r="6" spans="1:13" ht="18" customHeight="1" x14ac:dyDescent="0.25">
      <c r="A6" s="46" t="s">
        <v>23</v>
      </c>
      <c r="B6" s="47"/>
      <c r="C6" s="47"/>
    </row>
    <row r="7" spans="1:13" ht="19.95" customHeight="1" x14ac:dyDescent="0.25">
      <c r="A7" s="4">
        <v>1</v>
      </c>
      <c r="B7" s="5" t="s">
        <v>24</v>
      </c>
      <c r="C7" s="6" t="s">
        <v>130</v>
      </c>
      <c r="D7" s="5" t="s">
        <v>26</v>
      </c>
      <c r="E7" s="4">
        <v>90</v>
      </c>
      <c r="F7" s="45">
        <f>RTD("wdf.rtq",,$C$7,"LastPrice")</f>
        <v>1.18082</v>
      </c>
      <c r="G7" s="8">
        <v>1.1829940000000001</v>
      </c>
      <c r="H7" s="9">
        <f>IF(OR(ISNUMBER(F7)=FALSE,ISNUMBER(G7)=FALSE),"",(G7-F7)/F7*360/E7)</f>
        <v>7.3643739096564097E-3</v>
      </c>
      <c r="I7" s="10">
        <v>0.02</v>
      </c>
      <c r="J7" s="11">
        <f t="shared" ref="J7:J38" si="0">IF(OR(ISNUMBER(F7)=FALSE,ISNUMBER(G7)=FALSE,ISNUMBER(I7)=FALSE),"",((1+I7*E7/360)*G7/F7-1)*360/E7)</f>
        <v>2.7401195779204635E-2</v>
      </c>
      <c r="K7" s="12">
        <f t="shared" ref="K7:K38" si="1">IF(J7="","",ROUND((J7-$F$3)*10000,1))</f>
        <v>-93</v>
      </c>
      <c r="L7" s="13" t="s">
        <v>27</v>
      </c>
      <c r="M7" s="13" t="s">
        <v>28</v>
      </c>
    </row>
    <row r="8" spans="1:13" ht="16.05" customHeight="1" x14ac:dyDescent="0.25">
      <c r="A8" s="42"/>
      <c r="B8" s="15"/>
      <c r="C8" s="15"/>
      <c r="D8" s="16" t="s">
        <v>26</v>
      </c>
      <c r="E8" s="17">
        <v>90</v>
      </c>
      <c r="F8" s="7">
        <f>F7</f>
        <v>1.18082</v>
      </c>
      <c r="G8" s="8">
        <f>G7</f>
        <v>1.1829940000000001</v>
      </c>
      <c r="H8" s="9">
        <f>H7</f>
        <v>7.3643739096564097E-3</v>
      </c>
      <c r="I8" s="18"/>
      <c r="J8" s="11" t="str">
        <f t="shared" si="0"/>
        <v/>
      </c>
      <c r="K8" s="12" t="str">
        <f t="shared" si="1"/>
        <v/>
      </c>
      <c r="L8" s="15"/>
      <c r="M8" s="16" t="s">
        <v>116</v>
      </c>
    </row>
    <row r="9" spans="1:13" ht="19.95" customHeight="1" x14ac:dyDescent="0.25">
      <c r="A9" s="4">
        <v>2</v>
      </c>
      <c r="B9" s="5"/>
      <c r="C9" s="6"/>
      <c r="D9" s="5" t="s">
        <v>29</v>
      </c>
      <c r="E9" s="4">
        <v>180</v>
      </c>
      <c r="F9" s="7">
        <f t="shared" ref="F9:F14" si="2">F8</f>
        <v>1.18082</v>
      </c>
      <c r="G9" s="8">
        <v>1.18784</v>
      </c>
      <c r="H9" s="9">
        <f>IF(OR(ISNUMBER(F9)=FALSE,ISNUMBER(G9)=FALSE),"",(G9-F9)/F9*360/E9)</f>
        <v>1.1890042512830112E-2</v>
      </c>
      <c r="I9" s="10">
        <v>0.02</v>
      </c>
      <c r="J9" s="11">
        <f t="shared" si="0"/>
        <v>3.200894293795864E-2</v>
      </c>
      <c r="K9" s="12">
        <f t="shared" si="1"/>
        <v>-46.9</v>
      </c>
      <c r="L9" s="13"/>
      <c r="M9" s="13"/>
    </row>
    <row r="10" spans="1:13" ht="16.05" customHeight="1" x14ac:dyDescent="0.25">
      <c r="A10" s="14"/>
      <c r="B10" s="15"/>
      <c r="C10" s="15"/>
      <c r="D10" s="16" t="s">
        <v>29</v>
      </c>
      <c r="E10" s="17">
        <v>180</v>
      </c>
      <c r="F10" s="7">
        <f t="shared" si="2"/>
        <v>1.18082</v>
      </c>
      <c r="G10" s="8">
        <f>G9</f>
        <v>1.18784</v>
      </c>
      <c r="H10" s="9">
        <f>H9</f>
        <v>1.1890042512830112E-2</v>
      </c>
      <c r="I10" s="18"/>
      <c r="J10" s="11" t="str">
        <f t="shared" si="0"/>
        <v/>
      </c>
      <c r="K10" s="12" t="str">
        <f t="shared" si="1"/>
        <v/>
      </c>
      <c r="L10" s="15"/>
      <c r="M10" s="16"/>
    </row>
    <row r="11" spans="1:13" ht="19.95" customHeight="1" x14ac:dyDescent="0.25">
      <c r="A11" s="4">
        <v>3</v>
      </c>
      <c r="B11" s="5"/>
      <c r="C11" s="6"/>
      <c r="D11" s="5" t="s">
        <v>30</v>
      </c>
      <c r="E11" s="4">
        <v>270</v>
      </c>
      <c r="F11" s="7">
        <f t="shared" si="2"/>
        <v>1.18082</v>
      </c>
      <c r="G11" s="8">
        <v>1.1926380000000001</v>
      </c>
      <c r="H11" s="9">
        <f>IF(OR(ISNUMBER(F11)=FALSE,ISNUMBER(G11)=FALSE),"",(G11-F11)/F11*360/E11)</f>
        <v>1.3344399089898101E-2</v>
      </c>
      <c r="I11" s="10">
        <v>0.02</v>
      </c>
      <c r="J11" s="11">
        <f t="shared" si="0"/>
        <v>3.3544565076246556E-2</v>
      </c>
      <c r="K11" s="12">
        <f t="shared" si="1"/>
        <v>-31.6</v>
      </c>
      <c r="L11" s="13"/>
      <c r="M11" s="13"/>
    </row>
    <row r="12" spans="1:13" ht="16.05" customHeight="1" x14ac:dyDescent="0.25">
      <c r="A12" s="14"/>
      <c r="B12" s="15"/>
      <c r="C12" s="15"/>
      <c r="D12" s="16" t="s">
        <v>30</v>
      </c>
      <c r="E12" s="17">
        <v>270</v>
      </c>
      <c r="F12" s="7">
        <f t="shared" si="2"/>
        <v>1.18082</v>
      </c>
      <c r="G12" s="8">
        <f>G11</f>
        <v>1.1926380000000001</v>
      </c>
      <c r="H12" s="9">
        <f>H11</f>
        <v>1.3344399089898101E-2</v>
      </c>
      <c r="I12" s="18"/>
      <c r="J12" s="11" t="str">
        <f t="shared" si="0"/>
        <v/>
      </c>
      <c r="K12" s="12" t="str">
        <f t="shared" si="1"/>
        <v/>
      </c>
      <c r="L12" s="15"/>
      <c r="M12" s="16"/>
    </row>
    <row r="13" spans="1:13" ht="19.95" customHeight="1" x14ac:dyDescent="0.25">
      <c r="A13" s="4">
        <v>4</v>
      </c>
      <c r="B13" s="5"/>
      <c r="C13" s="6"/>
      <c r="D13" s="5" t="s">
        <v>31</v>
      </c>
      <c r="E13" s="4">
        <v>360</v>
      </c>
      <c r="F13" s="7">
        <f t="shared" si="2"/>
        <v>1.18082</v>
      </c>
      <c r="G13" s="8">
        <v>1.1973879999999999</v>
      </c>
      <c r="H13" s="9">
        <f>IF(OR(ISNUMBER(F13)=FALSE,ISNUMBER(G13)=FALSE),"",(G13-F13)/F13*360/E13)</f>
        <v>1.4030927660439287E-2</v>
      </c>
      <c r="I13" s="10">
        <v>0.02</v>
      </c>
      <c r="J13" s="11">
        <f t="shared" si="0"/>
        <v>3.431154621364807E-2</v>
      </c>
      <c r="K13" s="12">
        <f t="shared" si="1"/>
        <v>-23.9</v>
      </c>
      <c r="L13" s="13"/>
      <c r="M13" s="13"/>
    </row>
    <row r="14" spans="1:13" ht="16.05" customHeight="1" x14ac:dyDescent="0.25">
      <c r="A14" s="19"/>
      <c r="B14" s="20"/>
      <c r="C14" s="20"/>
      <c r="D14" s="21" t="s">
        <v>31</v>
      </c>
      <c r="E14" s="22">
        <v>360</v>
      </c>
      <c r="F14" s="7">
        <f t="shared" si="2"/>
        <v>1.18082</v>
      </c>
      <c r="G14" s="24">
        <f>G13</f>
        <v>1.1973879999999999</v>
      </c>
      <c r="H14" s="25">
        <f>H13</f>
        <v>1.4030927660439287E-2</v>
      </c>
      <c r="I14" s="26"/>
      <c r="J14" s="27" t="str">
        <f t="shared" si="0"/>
        <v/>
      </c>
      <c r="K14" s="28" t="str">
        <f t="shared" si="1"/>
        <v/>
      </c>
      <c r="L14" s="20"/>
      <c r="M14" s="21"/>
    </row>
    <row r="15" spans="1:13" ht="19.95" customHeight="1" x14ac:dyDescent="0.25">
      <c r="A15" s="29">
        <v>5</v>
      </c>
      <c r="B15" s="30" t="s">
        <v>32</v>
      </c>
      <c r="C15" s="31" t="s">
        <v>33</v>
      </c>
      <c r="D15" s="30" t="s">
        <v>26</v>
      </c>
      <c r="E15" s="29">
        <v>90</v>
      </c>
      <c r="F15" s="7">
        <v>1.35</v>
      </c>
      <c r="G15" s="8">
        <v>1.349977</v>
      </c>
      <c r="H15" s="9">
        <f>IF(OR(ISNUMBER(F15)=FALSE,ISNUMBER(G15)=FALSE),"",(G15-F15)/F15*360/E15)</f>
        <v>-6.8148148148463019E-5</v>
      </c>
      <c r="I15" s="10">
        <v>3.7280000000000001E-2</v>
      </c>
      <c r="J15" s="11">
        <f t="shared" si="0"/>
        <v>3.7211216711110495E-2</v>
      </c>
      <c r="K15" s="12">
        <f t="shared" si="1"/>
        <v>5.0999999999999996</v>
      </c>
      <c r="L15" s="32" t="s">
        <v>34</v>
      </c>
      <c r="M15" s="32" t="s">
        <v>28</v>
      </c>
    </row>
    <row r="16" spans="1:13" ht="16.05" customHeight="1" x14ac:dyDescent="0.25">
      <c r="A16" s="14"/>
      <c r="B16" s="15"/>
      <c r="C16" s="15"/>
      <c r="D16" s="16" t="s">
        <v>26</v>
      </c>
      <c r="E16" s="17">
        <v>90</v>
      </c>
      <c r="F16" s="7">
        <f>F15</f>
        <v>1.35</v>
      </c>
      <c r="G16" s="8">
        <f>G15</f>
        <v>1.349977</v>
      </c>
      <c r="H16" s="9">
        <f>H15</f>
        <v>-6.8148148148463019E-5</v>
      </c>
      <c r="I16" s="18"/>
      <c r="J16" s="11" t="str">
        <f t="shared" si="0"/>
        <v/>
      </c>
      <c r="K16" s="12" t="str">
        <f t="shared" si="1"/>
        <v/>
      </c>
      <c r="L16" s="15"/>
      <c r="M16" s="16" t="s">
        <v>116</v>
      </c>
    </row>
    <row r="17" spans="1:13" ht="19.95" customHeight="1" x14ac:dyDescent="0.25">
      <c r="A17" s="29">
        <v>6</v>
      </c>
      <c r="B17" s="30"/>
      <c r="C17" s="31"/>
      <c r="D17" s="30" t="s">
        <v>29</v>
      </c>
      <c r="E17" s="29">
        <v>180</v>
      </c>
      <c r="F17" s="7">
        <v>1.35</v>
      </c>
      <c r="G17" s="8">
        <v>1.3499540000000001</v>
      </c>
      <c r="H17" s="9">
        <f>IF(OR(ISNUMBER(F17)=FALSE,ISNUMBER(G17)=FALSE),"",(G17-F17)/F17*360/E17)</f>
        <v>-6.8148148148134059E-5</v>
      </c>
      <c r="I17" s="10">
        <v>3.7280000000000001E-2</v>
      </c>
      <c r="J17" s="11">
        <f t="shared" si="0"/>
        <v>3.7210581570370493E-2</v>
      </c>
      <c r="K17" s="12">
        <f t="shared" si="1"/>
        <v>5.0999999999999996</v>
      </c>
      <c r="L17" s="32"/>
      <c r="M17" s="32"/>
    </row>
    <row r="18" spans="1:13" ht="16.05" customHeight="1" x14ac:dyDescent="0.25">
      <c r="A18" s="14"/>
      <c r="B18" s="15"/>
      <c r="C18" s="15"/>
      <c r="D18" s="16" t="s">
        <v>29</v>
      </c>
      <c r="E18" s="17">
        <v>180</v>
      </c>
      <c r="F18" s="7">
        <f>F17</f>
        <v>1.35</v>
      </c>
      <c r="G18" s="8">
        <f>G17</f>
        <v>1.3499540000000001</v>
      </c>
      <c r="H18" s="9">
        <f>H17</f>
        <v>-6.8148148148134059E-5</v>
      </c>
      <c r="I18" s="18"/>
      <c r="J18" s="11" t="str">
        <f t="shared" si="0"/>
        <v/>
      </c>
      <c r="K18" s="12" t="str">
        <f t="shared" si="1"/>
        <v/>
      </c>
      <c r="L18" s="15"/>
      <c r="M18" s="16"/>
    </row>
    <row r="19" spans="1:13" ht="19.95" customHeight="1" x14ac:dyDescent="0.25">
      <c r="A19" s="29">
        <v>7</v>
      </c>
      <c r="B19" s="30"/>
      <c r="C19" s="31"/>
      <c r="D19" s="30" t="s">
        <v>30</v>
      </c>
      <c r="E19" s="29">
        <v>270</v>
      </c>
      <c r="F19" s="7">
        <v>1.35</v>
      </c>
      <c r="G19" s="8">
        <v>1.3499319999999999</v>
      </c>
      <c r="H19" s="9">
        <f>IF(OR(ISNUMBER(F19)=FALSE,ISNUMBER(G19)=FALSE),"",(G19-F19)/F19*360/E19)</f>
        <v>-6.7160493827337299E-5</v>
      </c>
      <c r="I19" s="10">
        <v>3.7280000000000001E-2</v>
      </c>
      <c r="J19" s="11">
        <f t="shared" si="0"/>
        <v>3.7210961698765331E-2</v>
      </c>
      <c r="K19" s="12">
        <f t="shared" si="1"/>
        <v>5.0999999999999996</v>
      </c>
      <c r="L19" s="32"/>
      <c r="M19" s="32"/>
    </row>
    <row r="20" spans="1:13" ht="16.05" customHeight="1" x14ac:dyDescent="0.25">
      <c r="A20" s="14"/>
      <c r="B20" s="15"/>
      <c r="C20" s="15"/>
      <c r="D20" s="16" t="s">
        <v>30</v>
      </c>
      <c r="E20" s="17">
        <v>270</v>
      </c>
      <c r="F20" s="7">
        <f>F19</f>
        <v>1.35</v>
      </c>
      <c r="G20" s="8">
        <f>G19</f>
        <v>1.3499319999999999</v>
      </c>
      <c r="H20" s="9">
        <f>H19</f>
        <v>-6.7160493827337299E-5</v>
      </c>
      <c r="I20" s="18"/>
      <c r="J20" s="11" t="str">
        <f t="shared" si="0"/>
        <v/>
      </c>
      <c r="K20" s="12" t="str">
        <f t="shared" si="1"/>
        <v/>
      </c>
      <c r="L20" s="15"/>
      <c r="M20" s="16"/>
    </row>
    <row r="21" spans="1:13" ht="19.95" customHeight="1" x14ac:dyDescent="0.25">
      <c r="A21" s="29">
        <v>8</v>
      </c>
      <c r="B21" s="30"/>
      <c r="C21" s="31"/>
      <c r="D21" s="30" t="s">
        <v>31</v>
      </c>
      <c r="E21" s="29">
        <v>360</v>
      </c>
      <c r="F21" s="7">
        <v>1.35</v>
      </c>
      <c r="G21" s="8">
        <v>1.3499099999999999</v>
      </c>
      <c r="H21" s="9">
        <f>IF(OR(ISNUMBER(F21)=FALSE,ISNUMBER(G21)=FALSE),"",(G21-F21)/F21*360/E21)</f>
        <v>-6.6666666666774453E-5</v>
      </c>
      <c r="I21" s="10">
        <v>3.7280000000000001E-2</v>
      </c>
      <c r="J21" s="11">
        <f t="shared" si="0"/>
        <v>3.7210847999999741E-2</v>
      </c>
      <c r="K21" s="12">
        <f t="shared" si="1"/>
        <v>5.0999999999999996</v>
      </c>
      <c r="L21" s="32"/>
      <c r="M21" s="32"/>
    </row>
    <row r="22" spans="1:13" ht="16.05" customHeight="1" x14ac:dyDescent="0.25">
      <c r="A22" s="19"/>
      <c r="B22" s="20"/>
      <c r="C22" s="20"/>
      <c r="D22" s="21" t="s">
        <v>31</v>
      </c>
      <c r="E22" s="22">
        <v>360</v>
      </c>
      <c r="F22" s="23">
        <f>F21</f>
        <v>1.35</v>
      </c>
      <c r="G22" s="24">
        <f>G21</f>
        <v>1.3499099999999999</v>
      </c>
      <c r="H22" s="25">
        <f>H21</f>
        <v>-6.6666666666774453E-5</v>
      </c>
      <c r="I22" s="26"/>
      <c r="J22" s="27" t="str">
        <f t="shared" si="0"/>
        <v/>
      </c>
      <c r="K22" s="28" t="str">
        <f t="shared" si="1"/>
        <v/>
      </c>
      <c r="L22" s="20"/>
      <c r="M22" s="21"/>
    </row>
    <row r="23" spans="1:13" ht="19.95" customHeight="1" x14ac:dyDescent="0.25">
      <c r="A23" s="4">
        <v>9</v>
      </c>
      <c r="B23" s="5" t="s">
        <v>35</v>
      </c>
      <c r="C23" s="6" t="s">
        <v>36</v>
      </c>
      <c r="D23" s="5" t="s">
        <v>26</v>
      </c>
      <c r="E23" s="4">
        <v>90</v>
      </c>
      <c r="F23" s="7">
        <v>0.70820000000000005</v>
      </c>
      <c r="G23" s="8">
        <v>0.70811500000000005</v>
      </c>
      <c r="H23" s="9">
        <f>IF(OR(ISNUMBER(F23)=FALSE,ISNUMBER(G23)=FALSE),"",(G23-F23)/F23*360/E23)</f>
        <v>-4.8009036995200075E-4</v>
      </c>
      <c r="I23" s="10">
        <v>3.7699999999999997E-2</v>
      </c>
      <c r="J23" s="11">
        <f t="shared" si="0"/>
        <v>3.7215384778311211E-2</v>
      </c>
      <c r="K23" s="12">
        <f t="shared" si="1"/>
        <v>5.2</v>
      </c>
      <c r="L23" s="13" t="s">
        <v>37</v>
      </c>
      <c r="M23" s="13" t="s">
        <v>28</v>
      </c>
    </row>
    <row r="24" spans="1:13" ht="16.05" customHeight="1" x14ac:dyDescent="0.25">
      <c r="A24" s="14"/>
      <c r="B24" s="15"/>
      <c r="C24" s="15"/>
      <c r="D24" s="16" t="s">
        <v>26</v>
      </c>
      <c r="E24" s="17">
        <v>90</v>
      </c>
      <c r="F24" s="7">
        <f>F23</f>
        <v>0.70820000000000005</v>
      </c>
      <c r="G24" s="8">
        <f>G23</f>
        <v>0.70811500000000005</v>
      </c>
      <c r="H24" s="9">
        <f>H23</f>
        <v>-4.8009036995200075E-4</v>
      </c>
      <c r="I24" s="18"/>
      <c r="J24" s="11" t="str">
        <f t="shared" si="0"/>
        <v/>
      </c>
      <c r="K24" s="12" t="str">
        <f t="shared" si="1"/>
        <v/>
      </c>
      <c r="L24" s="15"/>
      <c r="M24" s="16" t="s">
        <v>116</v>
      </c>
    </row>
    <row r="25" spans="1:13" ht="19.95" customHeight="1" x14ac:dyDescent="0.25">
      <c r="A25" s="4">
        <v>10</v>
      </c>
      <c r="B25" s="5"/>
      <c r="C25" s="6"/>
      <c r="D25" s="5" t="s">
        <v>29</v>
      </c>
      <c r="E25" s="4">
        <v>180</v>
      </c>
      <c r="F25" s="7">
        <v>0.70820000000000005</v>
      </c>
      <c r="G25" s="8">
        <v>0.70803199999999999</v>
      </c>
      <c r="H25" s="9">
        <f>IF(OR(ISNUMBER(F25)=FALSE,ISNUMBER(G25)=FALSE),"",(G25-F25)/F25*360/E25)</f>
        <v>-4.7444224795271668E-4</v>
      </c>
      <c r="I25" s="10">
        <v>3.7699999999999997E-2</v>
      </c>
      <c r="J25" s="11">
        <f t="shared" si="0"/>
        <v>3.7216614515673374E-2</v>
      </c>
      <c r="K25" s="12">
        <f t="shared" si="1"/>
        <v>5.2</v>
      </c>
      <c r="L25" s="13"/>
      <c r="M25" s="13"/>
    </row>
    <row r="26" spans="1:13" ht="16.05" customHeight="1" x14ac:dyDescent="0.25">
      <c r="A26" s="14"/>
      <c r="B26" s="15"/>
      <c r="C26" s="15"/>
      <c r="D26" s="16" t="s">
        <v>29</v>
      </c>
      <c r="E26" s="17">
        <v>180</v>
      </c>
      <c r="F26" s="7">
        <f>F25</f>
        <v>0.70820000000000005</v>
      </c>
      <c r="G26" s="8">
        <f>G25</f>
        <v>0.70803199999999999</v>
      </c>
      <c r="H26" s="9">
        <f>H25</f>
        <v>-4.7444224795271668E-4</v>
      </c>
      <c r="I26" s="18"/>
      <c r="J26" s="11" t="str">
        <f t="shared" si="0"/>
        <v/>
      </c>
      <c r="K26" s="12" t="str">
        <f t="shared" si="1"/>
        <v/>
      </c>
      <c r="L26" s="15"/>
      <c r="M26" s="16"/>
    </row>
    <row r="27" spans="1:13" ht="19.95" customHeight="1" x14ac:dyDescent="0.25">
      <c r="A27" s="4">
        <v>11</v>
      </c>
      <c r="B27" s="5"/>
      <c r="C27" s="6"/>
      <c r="D27" s="5" t="s">
        <v>30</v>
      </c>
      <c r="E27" s="4">
        <v>270</v>
      </c>
      <c r="F27" s="7">
        <v>0.70820000000000005</v>
      </c>
      <c r="G27" s="8">
        <v>0.70794999999999997</v>
      </c>
      <c r="H27" s="9">
        <f>IF(OR(ISNUMBER(F27)=FALSE,ISNUMBER(G27)=FALSE),"",(G27-F27)/F27*360/E27)</f>
        <v>-4.7067683328642278E-4</v>
      </c>
      <c r="I27" s="10">
        <v>3.7699999999999997E-2</v>
      </c>
      <c r="J27" s="11">
        <f t="shared" si="0"/>
        <v>3.7216014779252404E-2</v>
      </c>
      <c r="K27" s="12">
        <f t="shared" si="1"/>
        <v>5.2</v>
      </c>
      <c r="L27" s="13"/>
      <c r="M27" s="13"/>
    </row>
    <row r="28" spans="1:13" ht="16.05" customHeight="1" x14ac:dyDescent="0.25">
      <c r="A28" s="14"/>
      <c r="B28" s="15"/>
      <c r="C28" s="15"/>
      <c r="D28" s="16" t="s">
        <v>30</v>
      </c>
      <c r="E28" s="17">
        <v>270</v>
      </c>
      <c r="F28" s="7">
        <f>F27</f>
        <v>0.70820000000000005</v>
      </c>
      <c r="G28" s="8">
        <f>G27</f>
        <v>0.70794999999999997</v>
      </c>
      <c r="H28" s="9">
        <f>H27</f>
        <v>-4.7067683328642278E-4</v>
      </c>
      <c r="I28" s="18"/>
      <c r="J28" s="11" t="str">
        <f t="shared" si="0"/>
        <v/>
      </c>
      <c r="K28" s="12" t="str">
        <f t="shared" si="1"/>
        <v/>
      </c>
      <c r="L28" s="15"/>
      <c r="M28" s="16"/>
    </row>
    <row r="29" spans="1:13" ht="19.95" customHeight="1" x14ac:dyDescent="0.25">
      <c r="A29" s="4">
        <v>12</v>
      </c>
      <c r="B29" s="5"/>
      <c r="C29" s="6"/>
      <c r="D29" s="5" t="s">
        <v>31</v>
      </c>
      <c r="E29" s="4">
        <v>360</v>
      </c>
      <c r="F29" s="7">
        <v>0.70820000000000005</v>
      </c>
      <c r="G29" s="8">
        <v>0.70787</v>
      </c>
      <c r="H29" s="9">
        <f>IF(OR(ISNUMBER(F29)=FALSE,ISNUMBER(G29)=FALSE),"",(G29-F29)/F29*360/E29)</f>
        <v>-4.6597006495347707E-4</v>
      </c>
      <c r="I29" s="10">
        <v>3.7699999999999997E-2</v>
      </c>
      <c r="J29" s="11">
        <f t="shared" si="0"/>
        <v>3.721646286359781E-2</v>
      </c>
      <c r="K29" s="12">
        <f t="shared" si="1"/>
        <v>5.2</v>
      </c>
      <c r="L29" s="13"/>
      <c r="M29" s="13"/>
    </row>
    <row r="30" spans="1:13" ht="16.05" customHeight="1" x14ac:dyDescent="0.25">
      <c r="A30" s="19"/>
      <c r="B30" s="20"/>
      <c r="C30" s="20"/>
      <c r="D30" s="21" t="s">
        <v>31</v>
      </c>
      <c r="E30" s="22">
        <v>360</v>
      </c>
      <c r="F30" s="23">
        <f>F29</f>
        <v>0.70820000000000005</v>
      </c>
      <c r="G30" s="24">
        <f>G29</f>
        <v>0.70787</v>
      </c>
      <c r="H30" s="25">
        <f>H29</f>
        <v>-4.6597006495347707E-4</v>
      </c>
      <c r="I30" s="26"/>
      <c r="J30" s="27" t="str">
        <f t="shared" si="0"/>
        <v/>
      </c>
      <c r="K30" s="28" t="str">
        <f t="shared" si="1"/>
        <v/>
      </c>
      <c r="L30" s="20"/>
      <c r="M30" s="21"/>
    </row>
    <row r="31" spans="1:13" ht="19.95" customHeight="1" x14ac:dyDescent="0.25">
      <c r="A31" s="29">
        <v>13</v>
      </c>
      <c r="B31" s="30" t="s">
        <v>38</v>
      </c>
      <c r="C31" s="31" t="s">
        <v>39</v>
      </c>
      <c r="D31" s="30" t="s">
        <v>26</v>
      </c>
      <c r="E31" s="29">
        <v>90</v>
      </c>
      <c r="F31" s="7">
        <v>0.59740000000000004</v>
      </c>
      <c r="G31" s="8">
        <v>0.59918800000000005</v>
      </c>
      <c r="H31" s="9">
        <f>IF(OR(ISNUMBER(F31)=FALSE,ISNUMBER(G31)=FALSE),"",(G31-F31)/F31*360/E31)</f>
        <v>1.197187813860068E-2</v>
      </c>
      <c r="I31" s="10">
        <v>2.5000000000000001E-2</v>
      </c>
      <c r="J31" s="11">
        <f t="shared" si="0"/>
        <v>3.7046702376967389E-2</v>
      </c>
      <c r="K31" s="12">
        <f t="shared" si="1"/>
        <v>3.5</v>
      </c>
      <c r="L31" s="32" t="s">
        <v>40</v>
      </c>
      <c r="M31" s="32" t="s">
        <v>28</v>
      </c>
    </row>
    <row r="32" spans="1:13" ht="16.05" customHeight="1" x14ac:dyDescent="0.25">
      <c r="A32" s="14"/>
      <c r="B32" s="15"/>
      <c r="C32" s="15"/>
      <c r="D32" s="16" t="s">
        <v>26</v>
      </c>
      <c r="E32" s="17">
        <v>90</v>
      </c>
      <c r="F32" s="7">
        <f>F31</f>
        <v>0.59740000000000004</v>
      </c>
      <c r="G32" s="8">
        <f>G31</f>
        <v>0.59918800000000005</v>
      </c>
      <c r="H32" s="9">
        <f>H31</f>
        <v>1.197187813860068E-2</v>
      </c>
      <c r="I32" s="18"/>
      <c r="J32" s="11" t="str">
        <f t="shared" si="0"/>
        <v/>
      </c>
      <c r="K32" s="12" t="str">
        <f t="shared" si="1"/>
        <v/>
      </c>
      <c r="L32" s="15"/>
      <c r="M32" s="16" t="s">
        <v>116</v>
      </c>
    </row>
    <row r="33" spans="1:13" ht="19.95" customHeight="1" x14ac:dyDescent="0.25">
      <c r="A33" s="29">
        <v>14</v>
      </c>
      <c r="B33" s="30"/>
      <c r="C33" s="31"/>
      <c r="D33" s="30" t="s">
        <v>29</v>
      </c>
      <c r="E33" s="29">
        <v>180</v>
      </c>
      <c r="F33" s="7">
        <v>0.59740000000000004</v>
      </c>
      <c r="G33" s="8">
        <v>0.60095299999999996</v>
      </c>
      <c r="H33" s="9">
        <f>IF(OR(ISNUMBER(F33)=FALSE,ISNUMBER(G33)=FALSE),"",(G33-F33)/F33*360/E33)</f>
        <v>1.189487780381626E-2</v>
      </c>
      <c r="I33" s="10">
        <v>2.5000000000000001E-2</v>
      </c>
      <c r="J33" s="11">
        <f t="shared" si="0"/>
        <v>3.7043563776363975E-2</v>
      </c>
      <c r="K33" s="12">
        <f t="shared" si="1"/>
        <v>3.4</v>
      </c>
      <c r="L33" s="32"/>
      <c r="M33" s="32"/>
    </row>
    <row r="34" spans="1:13" ht="16.05" customHeight="1" x14ac:dyDescent="0.25">
      <c r="A34" s="14"/>
      <c r="B34" s="15"/>
      <c r="C34" s="15"/>
      <c r="D34" s="16" t="s">
        <v>29</v>
      </c>
      <c r="E34" s="17">
        <v>180</v>
      </c>
      <c r="F34" s="7">
        <f>F33</f>
        <v>0.59740000000000004</v>
      </c>
      <c r="G34" s="8">
        <f>G33</f>
        <v>0.60095299999999996</v>
      </c>
      <c r="H34" s="9">
        <f>H33</f>
        <v>1.189487780381626E-2</v>
      </c>
      <c r="I34" s="18"/>
      <c r="J34" s="11" t="str">
        <f t="shared" si="0"/>
        <v/>
      </c>
      <c r="K34" s="12" t="str">
        <f t="shared" si="1"/>
        <v/>
      </c>
      <c r="L34" s="15"/>
      <c r="M34" s="16"/>
    </row>
    <row r="35" spans="1:13" ht="19.95" customHeight="1" x14ac:dyDescent="0.25">
      <c r="A35" s="29">
        <v>15</v>
      </c>
      <c r="B35" s="30"/>
      <c r="C35" s="31"/>
      <c r="D35" s="30" t="s">
        <v>30</v>
      </c>
      <c r="E35" s="29">
        <v>270</v>
      </c>
      <c r="F35" s="7">
        <v>0.59740000000000004</v>
      </c>
      <c r="G35" s="8">
        <v>0.60269799999999996</v>
      </c>
      <c r="H35" s="9">
        <f>IF(OR(ISNUMBER(F35)=FALSE,ISNUMBER(G35)=FALSE),"",(G35-F35)/F35*360/E35)</f>
        <v>1.182457315031785E-2</v>
      </c>
      <c r="I35" s="10">
        <v>2.5000000000000001E-2</v>
      </c>
      <c r="J35" s="11">
        <f t="shared" si="0"/>
        <v>3.7046283896886578E-2</v>
      </c>
      <c r="K35" s="12">
        <f t="shared" si="1"/>
        <v>3.5</v>
      </c>
      <c r="L35" s="32"/>
      <c r="M35" s="32"/>
    </row>
    <row r="36" spans="1:13" ht="16.05" customHeight="1" x14ac:dyDescent="0.25">
      <c r="A36" s="14"/>
      <c r="B36" s="15"/>
      <c r="C36" s="15"/>
      <c r="D36" s="16" t="s">
        <v>30</v>
      </c>
      <c r="E36" s="17">
        <v>270</v>
      </c>
      <c r="F36" s="7">
        <f>F35</f>
        <v>0.59740000000000004</v>
      </c>
      <c r="G36" s="8">
        <f>G35</f>
        <v>0.60269799999999996</v>
      </c>
      <c r="H36" s="9">
        <f>H35</f>
        <v>1.182457315031785E-2</v>
      </c>
      <c r="I36" s="18"/>
      <c r="J36" s="11" t="str">
        <f t="shared" si="0"/>
        <v/>
      </c>
      <c r="K36" s="12" t="str">
        <f t="shared" si="1"/>
        <v/>
      </c>
      <c r="L36" s="15"/>
      <c r="M36" s="16"/>
    </row>
    <row r="37" spans="1:13" ht="19.95" customHeight="1" x14ac:dyDescent="0.25">
      <c r="A37" s="29">
        <v>16</v>
      </c>
      <c r="B37" s="30"/>
      <c r="C37" s="31"/>
      <c r="D37" s="30" t="s">
        <v>31</v>
      </c>
      <c r="E37" s="29">
        <v>360</v>
      </c>
      <c r="F37" s="7">
        <v>0.59740000000000004</v>
      </c>
      <c r="G37" s="8">
        <v>0.60442099999999999</v>
      </c>
      <c r="H37" s="9">
        <f>IF(OR(ISNUMBER(F37)=FALSE,ISNUMBER(G37)=FALSE),"",(G37-F37)/F37*360/E37)</f>
        <v>1.1752594576498066E-2</v>
      </c>
      <c r="I37" s="10">
        <v>2.5000000000000001E-2</v>
      </c>
      <c r="J37" s="11">
        <f t="shared" si="0"/>
        <v>3.7046409440910422E-2</v>
      </c>
      <c r="K37" s="12">
        <f t="shared" si="1"/>
        <v>3.5</v>
      </c>
      <c r="L37" s="32"/>
      <c r="M37" s="32"/>
    </row>
    <row r="38" spans="1:13" ht="16.05" customHeight="1" x14ac:dyDescent="0.25">
      <c r="A38" s="19"/>
      <c r="B38" s="20"/>
      <c r="C38" s="20"/>
      <c r="D38" s="21" t="s">
        <v>31</v>
      </c>
      <c r="E38" s="22">
        <v>360</v>
      </c>
      <c r="F38" s="23">
        <f>F37</f>
        <v>0.59740000000000004</v>
      </c>
      <c r="G38" s="24">
        <f>G37</f>
        <v>0.60442099999999999</v>
      </c>
      <c r="H38" s="25">
        <f>H37</f>
        <v>1.1752594576498066E-2</v>
      </c>
      <c r="I38" s="26"/>
      <c r="J38" s="27" t="str">
        <f t="shared" si="0"/>
        <v/>
      </c>
      <c r="K38" s="28" t="str">
        <f t="shared" si="1"/>
        <v/>
      </c>
      <c r="L38" s="20"/>
      <c r="M38" s="21"/>
    </row>
    <row r="39" spans="1:13" ht="19.95" customHeight="1" x14ac:dyDescent="0.25">
      <c r="A39" s="4">
        <v>17</v>
      </c>
      <c r="B39" s="5" t="s">
        <v>41</v>
      </c>
      <c r="C39" s="6" t="s">
        <v>42</v>
      </c>
      <c r="D39" s="5" t="s">
        <v>26</v>
      </c>
      <c r="E39" s="4">
        <v>90</v>
      </c>
      <c r="F39" s="7">
        <v>1.3688</v>
      </c>
      <c r="G39" s="8">
        <v>1.3637809999999999</v>
      </c>
      <c r="H39" s="9">
        <f>IF(OR(ISNUMBER(F39)=FALSE,ISNUMBER(G39)=FALSE),"",(F39-G39)/F39*360/E39)</f>
        <v>1.4666861484512293E-2</v>
      </c>
      <c r="I39" s="10">
        <v>2.1899999999999999E-2</v>
      </c>
      <c r="J39" s="11">
        <f t="shared" ref="J39:J78" si="3">IF(OR(ISNUMBER(F39)=FALSE,ISNUMBER(G39)=FALSE,ISNUMBER(I39)=FALSE),"",((1+I39*E39/360)*F39/G39-1)*360/E39)</f>
        <v>3.6701435201106136E-2</v>
      </c>
      <c r="K39" s="12">
        <f t="shared" ref="K39:K70" si="4">IF(J39="","",ROUND((J39-$F$3)*10000,1))</f>
        <v>0</v>
      </c>
      <c r="L39" s="13" t="s">
        <v>43</v>
      </c>
      <c r="M39" s="13" t="s">
        <v>28</v>
      </c>
    </row>
    <row r="40" spans="1:13" ht="16.05" customHeight="1" x14ac:dyDescent="0.25">
      <c r="A40" s="14"/>
      <c r="B40" s="15"/>
      <c r="C40" s="15"/>
      <c r="D40" s="16" t="s">
        <v>26</v>
      </c>
      <c r="E40" s="17">
        <v>90</v>
      </c>
      <c r="F40" s="7">
        <f>F39</f>
        <v>1.3688</v>
      </c>
      <c r="G40" s="8">
        <f>G39</f>
        <v>1.3637809999999999</v>
      </c>
      <c r="H40" s="9">
        <f>H39</f>
        <v>1.4666861484512293E-2</v>
      </c>
      <c r="I40" s="18"/>
      <c r="J40" s="11" t="str">
        <f t="shared" si="3"/>
        <v/>
      </c>
      <c r="K40" s="12" t="str">
        <f t="shared" si="4"/>
        <v/>
      </c>
      <c r="L40" s="15"/>
      <c r="M40" s="16" t="s">
        <v>116</v>
      </c>
    </row>
    <row r="41" spans="1:13" ht="19.95" customHeight="1" x14ac:dyDescent="0.25">
      <c r="A41" s="4">
        <v>18</v>
      </c>
      <c r="B41" s="5"/>
      <c r="C41" s="6"/>
      <c r="D41" s="5" t="s">
        <v>29</v>
      </c>
      <c r="E41" s="4">
        <v>180</v>
      </c>
      <c r="F41" s="7">
        <v>1.3688</v>
      </c>
      <c r="G41" s="8">
        <v>1.3588530000000001</v>
      </c>
      <c r="H41" s="9">
        <f>IF(OR(ISNUMBER(F41)=FALSE,ISNUMBER(G41)=FALSE),"",(F41-G41)/F41*360/E41)</f>
        <v>1.453389830508464E-2</v>
      </c>
      <c r="I41" s="10">
        <v>2.1899999999999999E-2</v>
      </c>
      <c r="J41" s="11">
        <f t="shared" si="3"/>
        <v>3.6700599696950054E-2</v>
      </c>
      <c r="K41" s="12">
        <f t="shared" si="4"/>
        <v>0</v>
      </c>
      <c r="L41" s="13"/>
      <c r="M41" s="13"/>
    </row>
    <row r="42" spans="1:13" ht="16.05" customHeight="1" x14ac:dyDescent="0.25">
      <c r="A42" s="14"/>
      <c r="B42" s="15"/>
      <c r="C42" s="15"/>
      <c r="D42" s="16" t="s">
        <v>29</v>
      </c>
      <c r="E42" s="17">
        <v>180</v>
      </c>
      <c r="F42" s="7">
        <f>F41</f>
        <v>1.3688</v>
      </c>
      <c r="G42" s="8">
        <f>G41</f>
        <v>1.3588530000000001</v>
      </c>
      <c r="H42" s="9">
        <f>H41</f>
        <v>1.453389830508464E-2</v>
      </c>
      <c r="I42" s="18"/>
      <c r="J42" s="11" t="str">
        <f t="shared" si="3"/>
        <v/>
      </c>
      <c r="K42" s="12" t="str">
        <f t="shared" si="4"/>
        <v/>
      </c>
      <c r="L42" s="15"/>
      <c r="M42" s="16"/>
    </row>
    <row r="43" spans="1:13" ht="19.95" customHeight="1" x14ac:dyDescent="0.25">
      <c r="A43" s="4">
        <v>19</v>
      </c>
      <c r="B43" s="5"/>
      <c r="C43" s="6"/>
      <c r="D43" s="5" t="s">
        <v>30</v>
      </c>
      <c r="E43" s="4">
        <v>270</v>
      </c>
      <c r="F43" s="7">
        <v>1.3688</v>
      </c>
      <c r="G43" s="8">
        <v>1.3540129999999999</v>
      </c>
      <c r="H43" s="9">
        <f>IF(OR(ISNUMBER(F43)=FALSE,ISNUMBER(G43)=FALSE),"",(F43-G43)/F43*360/E43)</f>
        <v>1.4403857393337332E-2</v>
      </c>
      <c r="I43" s="10">
        <v>2.1899999999999999E-2</v>
      </c>
      <c r="J43" s="11">
        <f t="shared" si="3"/>
        <v>3.6700327101733876E-2</v>
      </c>
      <c r="K43" s="12">
        <f t="shared" si="4"/>
        <v>0</v>
      </c>
      <c r="L43" s="13"/>
      <c r="M43" s="13"/>
    </row>
    <row r="44" spans="1:13" ht="16.05" customHeight="1" x14ac:dyDescent="0.25">
      <c r="A44" s="14"/>
      <c r="B44" s="15"/>
      <c r="C44" s="15"/>
      <c r="D44" s="16" t="s">
        <v>30</v>
      </c>
      <c r="E44" s="17">
        <v>270</v>
      </c>
      <c r="F44" s="7">
        <f>F43</f>
        <v>1.3688</v>
      </c>
      <c r="G44" s="8">
        <f>G43</f>
        <v>1.3540129999999999</v>
      </c>
      <c r="H44" s="9">
        <f>H43</f>
        <v>1.4403857393337332E-2</v>
      </c>
      <c r="I44" s="18"/>
      <c r="J44" s="11" t="str">
        <f t="shared" si="3"/>
        <v/>
      </c>
      <c r="K44" s="12" t="str">
        <f t="shared" si="4"/>
        <v/>
      </c>
      <c r="L44" s="15"/>
      <c r="M44" s="16"/>
    </row>
    <row r="45" spans="1:13" ht="19.95" customHeight="1" x14ac:dyDescent="0.25">
      <c r="A45" s="4">
        <v>20</v>
      </c>
      <c r="B45" s="5"/>
      <c r="C45" s="6"/>
      <c r="D45" s="5" t="s">
        <v>31</v>
      </c>
      <c r="E45" s="4">
        <v>360</v>
      </c>
      <c r="F45" s="7">
        <v>1.3688</v>
      </c>
      <c r="G45" s="8">
        <v>1.349259</v>
      </c>
      <c r="H45" s="9">
        <f>IF(OR(ISNUMBER(F45)=FALSE,ISNUMBER(G45)=FALSE),"",(F45-G45)/F45*360/E45)</f>
        <v>1.4276008182349526E-2</v>
      </c>
      <c r="I45" s="10">
        <v>2.1899999999999999E-2</v>
      </c>
      <c r="J45" s="11">
        <f t="shared" si="3"/>
        <v>3.6699936780114184E-2</v>
      </c>
      <c r="K45" s="12">
        <f t="shared" si="4"/>
        <v>0</v>
      </c>
      <c r="L45" s="13"/>
      <c r="M45" s="13"/>
    </row>
    <row r="46" spans="1:13" ht="16.05" customHeight="1" x14ac:dyDescent="0.25">
      <c r="A46" s="19"/>
      <c r="B46" s="20"/>
      <c r="C46" s="20"/>
      <c r="D46" s="21" t="s">
        <v>31</v>
      </c>
      <c r="E46" s="22">
        <v>360</v>
      </c>
      <c r="F46" s="23">
        <f>F45</f>
        <v>1.3688</v>
      </c>
      <c r="G46" s="24">
        <f>G45</f>
        <v>1.349259</v>
      </c>
      <c r="H46" s="25">
        <f>H45</f>
        <v>1.4276008182349526E-2</v>
      </c>
      <c r="I46" s="26"/>
      <c r="J46" s="27" t="str">
        <f t="shared" si="3"/>
        <v/>
      </c>
      <c r="K46" s="28" t="str">
        <f t="shared" si="4"/>
        <v/>
      </c>
      <c r="L46" s="20"/>
      <c r="M46" s="21"/>
    </row>
    <row r="47" spans="1:13" ht="19.95" customHeight="1" x14ac:dyDescent="0.25">
      <c r="A47" s="29">
        <v>21</v>
      </c>
      <c r="B47" s="30" t="s">
        <v>44</v>
      </c>
      <c r="C47" s="31" t="s">
        <v>45</v>
      </c>
      <c r="D47" s="30" t="s">
        <v>26</v>
      </c>
      <c r="E47" s="29">
        <v>90</v>
      </c>
      <c r="F47" s="7">
        <v>0.77559999999999996</v>
      </c>
      <c r="G47" s="8">
        <v>0.76847699999999997</v>
      </c>
      <c r="H47" s="9">
        <f>IF(OR(ISNUMBER(F47)=FALSE,ISNUMBER(G47)=FALSE),"",(F47-G47)/F47*360/E47)</f>
        <v>3.6735430634347553E-2</v>
      </c>
      <c r="I47" s="10">
        <v>-3.7199999999999999E-4</v>
      </c>
      <c r="J47" s="11">
        <f t="shared" si="3"/>
        <v>3.6700482642941346E-2</v>
      </c>
      <c r="K47" s="12">
        <f t="shared" si="4"/>
        <v>0</v>
      </c>
      <c r="L47" s="32" t="s">
        <v>46</v>
      </c>
      <c r="M47" s="32" t="s">
        <v>28</v>
      </c>
    </row>
    <row r="48" spans="1:13" ht="16.05" customHeight="1" x14ac:dyDescent="0.25">
      <c r="A48" s="14"/>
      <c r="B48" s="15"/>
      <c r="C48" s="15"/>
      <c r="D48" s="16" t="s">
        <v>26</v>
      </c>
      <c r="E48" s="17">
        <v>90</v>
      </c>
      <c r="F48" s="7">
        <f>F47</f>
        <v>0.77559999999999996</v>
      </c>
      <c r="G48" s="8">
        <f>G47</f>
        <v>0.76847699999999997</v>
      </c>
      <c r="H48" s="9">
        <f>H47</f>
        <v>3.6735430634347553E-2</v>
      </c>
      <c r="I48" s="18"/>
      <c r="J48" s="11" t="str">
        <f t="shared" si="3"/>
        <v/>
      </c>
      <c r="K48" s="12" t="str">
        <f t="shared" si="4"/>
        <v/>
      </c>
      <c r="L48" s="15"/>
      <c r="M48" s="16" t="s">
        <v>116</v>
      </c>
    </row>
    <row r="49" spans="1:13" ht="19.95" customHeight="1" x14ac:dyDescent="0.25">
      <c r="A49" s="29">
        <v>22</v>
      </c>
      <c r="B49" s="30"/>
      <c r="C49" s="31"/>
      <c r="D49" s="30" t="s">
        <v>29</v>
      </c>
      <c r="E49" s="29">
        <v>180</v>
      </c>
      <c r="F49" s="7">
        <v>0.77559999999999996</v>
      </c>
      <c r="G49" s="8">
        <v>0.76148300000000002</v>
      </c>
      <c r="H49" s="9">
        <f>IF(OR(ISNUMBER(F49)=FALSE,ISNUMBER(G49)=FALSE),"",(F49-G49)/F49*360/E49)</f>
        <v>3.6402784940690915E-2</v>
      </c>
      <c r="I49" s="10">
        <v>-3.7199999999999999E-4</v>
      </c>
      <c r="J49" s="11">
        <f t="shared" si="3"/>
        <v>3.6698753353653135E-2</v>
      </c>
      <c r="K49" s="12">
        <f t="shared" si="4"/>
        <v>0</v>
      </c>
      <c r="L49" s="32"/>
      <c r="M49" s="32"/>
    </row>
    <row r="50" spans="1:13" ht="16.05" customHeight="1" x14ac:dyDescent="0.25">
      <c r="A50" s="14"/>
      <c r="B50" s="15"/>
      <c r="C50" s="15"/>
      <c r="D50" s="16" t="s">
        <v>29</v>
      </c>
      <c r="E50" s="17">
        <v>180</v>
      </c>
      <c r="F50" s="7">
        <f>F49</f>
        <v>0.77559999999999996</v>
      </c>
      <c r="G50" s="8">
        <f>G49</f>
        <v>0.76148300000000002</v>
      </c>
      <c r="H50" s="9">
        <f>H49</f>
        <v>3.6402784940690915E-2</v>
      </c>
      <c r="I50" s="18"/>
      <c r="J50" s="11" t="str">
        <f t="shared" si="3"/>
        <v/>
      </c>
      <c r="K50" s="12" t="str">
        <f t="shared" si="4"/>
        <v/>
      </c>
      <c r="L50" s="15"/>
      <c r="M50" s="16"/>
    </row>
    <row r="51" spans="1:13" ht="19.95" customHeight="1" x14ac:dyDescent="0.25">
      <c r="A51" s="29">
        <v>23</v>
      </c>
      <c r="B51" s="30"/>
      <c r="C51" s="31"/>
      <c r="D51" s="30" t="s">
        <v>30</v>
      </c>
      <c r="E51" s="29">
        <v>270</v>
      </c>
      <c r="F51" s="7">
        <v>0.77559999999999996</v>
      </c>
      <c r="G51" s="8">
        <v>0.75461299999999998</v>
      </c>
      <c r="H51" s="9">
        <f>IF(OR(ISNUMBER(F51)=FALSE,ISNUMBER(G51)=FALSE),"",(F51-G51)/F51*360/E51)</f>
        <v>3.6078734742994632E-2</v>
      </c>
      <c r="I51" s="10">
        <v>-3.7199999999999999E-4</v>
      </c>
      <c r="J51" s="11">
        <f t="shared" si="3"/>
        <v>3.6699796407783168E-2</v>
      </c>
      <c r="K51" s="12">
        <f t="shared" si="4"/>
        <v>0</v>
      </c>
      <c r="L51" s="32"/>
      <c r="M51" s="32"/>
    </row>
    <row r="52" spans="1:13" ht="16.05" customHeight="1" x14ac:dyDescent="0.25">
      <c r="A52" s="14"/>
      <c r="B52" s="15"/>
      <c r="C52" s="15"/>
      <c r="D52" s="16" t="s">
        <v>30</v>
      </c>
      <c r="E52" s="17">
        <v>270</v>
      </c>
      <c r="F52" s="7">
        <f>F51</f>
        <v>0.77559999999999996</v>
      </c>
      <c r="G52" s="8">
        <f>G51</f>
        <v>0.75461299999999998</v>
      </c>
      <c r="H52" s="9">
        <f>H51</f>
        <v>3.6078734742994632E-2</v>
      </c>
      <c r="I52" s="18"/>
      <c r="J52" s="11" t="str">
        <f t="shared" si="3"/>
        <v/>
      </c>
      <c r="K52" s="12" t="str">
        <f t="shared" si="4"/>
        <v/>
      </c>
      <c r="L52" s="15"/>
      <c r="M52" s="16"/>
    </row>
    <row r="53" spans="1:13" ht="19.95" customHeight="1" x14ac:dyDescent="0.25">
      <c r="A53" s="29">
        <v>24</v>
      </c>
      <c r="B53" s="30"/>
      <c r="C53" s="31"/>
      <c r="D53" s="30" t="s">
        <v>31</v>
      </c>
      <c r="E53" s="29">
        <v>360</v>
      </c>
      <c r="F53" s="7">
        <v>0.77559999999999996</v>
      </c>
      <c r="G53" s="8">
        <v>0.747865</v>
      </c>
      <c r="H53" s="9">
        <f>IF(OR(ISNUMBER(F53)=FALSE,ISNUMBER(G53)=FALSE),"",(F53-G53)/F53*360/E53)</f>
        <v>3.5759412068076271E-2</v>
      </c>
      <c r="I53" s="10">
        <v>-3.7199999999999999E-4</v>
      </c>
      <c r="J53" s="11">
        <f t="shared" si="3"/>
        <v>3.669977442452832E-2</v>
      </c>
      <c r="K53" s="12">
        <f t="shared" si="4"/>
        <v>0</v>
      </c>
      <c r="L53" s="32"/>
      <c r="M53" s="32"/>
    </row>
    <row r="54" spans="1:13" ht="16.05" customHeight="1" x14ac:dyDescent="0.25">
      <c r="A54" s="19"/>
      <c r="B54" s="20"/>
      <c r="C54" s="20"/>
      <c r="D54" s="21" t="s">
        <v>31</v>
      </c>
      <c r="E54" s="22">
        <v>360</v>
      </c>
      <c r="F54" s="23">
        <f>F53</f>
        <v>0.77559999999999996</v>
      </c>
      <c r="G54" s="24">
        <f>G53</f>
        <v>0.747865</v>
      </c>
      <c r="H54" s="25">
        <f>H53</f>
        <v>3.5759412068076271E-2</v>
      </c>
      <c r="I54" s="26"/>
      <c r="J54" s="27" t="str">
        <f t="shared" si="3"/>
        <v/>
      </c>
      <c r="K54" s="28" t="str">
        <f t="shared" si="4"/>
        <v/>
      </c>
      <c r="L54" s="20"/>
      <c r="M54" s="21"/>
    </row>
    <row r="55" spans="1:13" ht="19.95" customHeight="1" x14ac:dyDescent="0.25">
      <c r="A55" s="4">
        <v>25</v>
      </c>
      <c r="B55" s="5" t="s">
        <v>47</v>
      </c>
      <c r="C55" s="6" t="s">
        <v>48</v>
      </c>
      <c r="D55" s="5" t="s">
        <v>26</v>
      </c>
      <c r="E55" s="4">
        <v>90</v>
      </c>
      <c r="F55" s="33">
        <v>154.99</v>
      </c>
      <c r="G55" s="34">
        <v>153.69608099999999</v>
      </c>
      <c r="H55" s="9">
        <f>IF(OR(ISNUMBER(F55)=FALSE,ISNUMBER(G55)=FALSE),"",(F55-G55)/F55*360/E55)</f>
        <v>3.3393612491128891E-2</v>
      </c>
      <c r="I55" s="10">
        <v>3.0000000000000001E-3</v>
      </c>
      <c r="J55" s="11">
        <f t="shared" si="3"/>
        <v>3.6699998876354556E-2</v>
      </c>
      <c r="K55" s="12">
        <f t="shared" si="4"/>
        <v>0</v>
      </c>
      <c r="L55" s="13" t="s">
        <v>49</v>
      </c>
      <c r="M55" s="13" t="s">
        <v>28</v>
      </c>
    </row>
    <row r="56" spans="1:13" ht="16.05" customHeight="1" x14ac:dyDescent="0.25">
      <c r="A56" s="14"/>
      <c r="B56" s="15"/>
      <c r="C56" s="15"/>
      <c r="D56" s="16" t="s">
        <v>26</v>
      </c>
      <c r="E56" s="17">
        <v>90</v>
      </c>
      <c r="F56" s="33">
        <f>F55</f>
        <v>154.99</v>
      </c>
      <c r="G56" s="34">
        <f>G55</f>
        <v>153.69608099999999</v>
      </c>
      <c r="H56" s="9">
        <f>H55</f>
        <v>3.3393612491128891E-2</v>
      </c>
      <c r="I56" s="18"/>
      <c r="J56" s="11" t="str">
        <f t="shared" si="3"/>
        <v/>
      </c>
      <c r="K56" s="12" t="str">
        <f t="shared" si="4"/>
        <v/>
      </c>
      <c r="L56" s="15"/>
      <c r="M56" s="16" t="s">
        <v>116</v>
      </c>
    </row>
    <row r="57" spans="1:13" ht="19.95" customHeight="1" x14ac:dyDescent="0.25">
      <c r="A57" s="4">
        <v>26</v>
      </c>
      <c r="B57" s="5"/>
      <c r="C57" s="6"/>
      <c r="D57" s="5" t="s">
        <v>29</v>
      </c>
      <c r="E57" s="4">
        <v>180</v>
      </c>
      <c r="F57" s="33">
        <v>154.99</v>
      </c>
      <c r="G57" s="34">
        <v>152.425477</v>
      </c>
      <c r="H57" s="9">
        <f>IF(OR(ISNUMBER(F57)=FALSE,ISNUMBER(G57)=FALSE),"",(F57-G57)/F57*360/E57)</f>
        <v>3.3092754371249866E-2</v>
      </c>
      <c r="I57" s="10">
        <v>3.0000000000000001E-3</v>
      </c>
      <c r="J57" s="11">
        <f t="shared" si="3"/>
        <v>3.6700006521875661E-2</v>
      </c>
      <c r="K57" s="12">
        <f t="shared" si="4"/>
        <v>0</v>
      </c>
      <c r="L57" s="13"/>
      <c r="M57" s="13"/>
    </row>
    <row r="58" spans="1:13" ht="16.05" customHeight="1" x14ac:dyDescent="0.25">
      <c r="A58" s="14"/>
      <c r="B58" s="15"/>
      <c r="C58" s="15"/>
      <c r="D58" s="16" t="s">
        <v>29</v>
      </c>
      <c r="E58" s="17">
        <v>180</v>
      </c>
      <c r="F58" s="33">
        <f>F57</f>
        <v>154.99</v>
      </c>
      <c r="G58" s="34">
        <f>G57</f>
        <v>152.425477</v>
      </c>
      <c r="H58" s="9">
        <f>H57</f>
        <v>3.3092754371249866E-2</v>
      </c>
      <c r="I58" s="18"/>
      <c r="J58" s="11" t="str">
        <f t="shared" si="3"/>
        <v/>
      </c>
      <c r="K58" s="12" t="str">
        <f t="shared" si="4"/>
        <v/>
      </c>
      <c r="L58" s="15"/>
      <c r="M58" s="16"/>
    </row>
    <row r="59" spans="1:13" ht="19.95" customHeight="1" x14ac:dyDescent="0.25">
      <c r="A59" s="4">
        <v>27</v>
      </c>
      <c r="B59" s="5"/>
      <c r="C59" s="6"/>
      <c r="D59" s="5" t="s">
        <v>30</v>
      </c>
      <c r="E59" s="4">
        <v>270</v>
      </c>
      <c r="F59" s="33">
        <v>154.99</v>
      </c>
      <c r="G59" s="34">
        <v>151.17756499999999</v>
      </c>
      <c r="H59" s="9">
        <f>IF(OR(ISNUMBER(F59)=FALSE,ISNUMBER(G59)=FALSE),"",(F59-G59)/F59*360/E59)</f>
        <v>3.2797255736929452E-2</v>
      </c>
      <c r="I59" s="10">
        <v>3.0000000000000001E-3</v>
      </c>
      <c r="J59" s="11">
        <f t="shared" si="3"/>
        <v>3.6700000206159857E-2</v>
      </c>
      <c r="K59" s="12">
        <f t="shared" si="4"/>
        <v>0</v>
      </c>
      <c r="L59" s="13"/>
      <c r="M59" s="13"/>
    </row>
    <row r="60" spans="1:13" ht="16.05" customHeight="1" x14ac:dyDescent="0.25">
      <c r="A60" s="14"/>
      <c r="B60" s="15"/>
      <c r="C60" s="15"/>
      <c r="D60" s="16" t="s">
        <v>30</v>
      </c>
      <c r="E60" s="17">
        <v>270</v>
      </c>
      <c r="F60" s="33">
        <f>F59</f>
        <v>154.99</v>
      </c>
      <c r="G60" s="34">
        <f>G59</f>
        <v>151.17756499999999</v>
      </c>
      <c r="H60" s="9">
        <f>H59</f>
        <v>3.2797255736929452E-2</v>
      </c>
      <c r="I60" s="18"/>
      <c r="J60" s="11" t="str">
        <f t="shared" si="3"/>
        <v/>
      </c>
      <c r="K60" s="12" t="str">
        <f t="shared" si="4"/>
        <v/>
      </c>
      <c r="L60" s="15"/>
      <c r="M60" s="16"/>
    </row>
    <row r="61" spans="1:13" ht="19.95" customHeight="1" x14ac:dyDescent="0.25">
      <c r="A61" s="4">
        <v>28</v>
      </c>
      <c r="B61" s="5"/>
      <c r="C61" s="6"/>
      <c r="D61" s="5" t="s">
        <v>31</v>
      </c>
      <c r="E61" s="4">
        <v>360</v>
      </c>
      <c r="F61" s="33">
        <v>154.99</v>
      </c>
      <c r="G61" s="34">
        <v>149.951741</v>
      </c>
      <c r="H61" s="9">
        <f>IF(OR(ISNUMBER(F61)=FALSE,ISNUMBER(G61)=FALSE),"",(F61-G61)/F61*360/E61)</f>
        <v>3.2506993999612946E-2</v>
      </c>
      <c r="I61" s="10">
        <v>3.0000000000000001E-3</v>
      </c>
      <c r="J61" s="11">
        <f t="shared" si="3"/>
        <v>3.670000070222601E-2</v>
      </c>
      <c r="K61" s="12">
        <f t="shared" si="4"/>
        <v>0</v>
      </c>
      <c r="L61" s="13"/>
      <c r="M61" s="13"/>
    </row>
    <row r="62" spans="1:13" ht="16.05" customHeight="1" x14ac:dyDescent="0.25">
      <c r="A62" s="19"/>
      <c r="B62" s="20"/>
      <c r="C62" s="20"/>
      <c r="D62" s="21" t="s">
        <v>31</v>
      </c>
      <c r="E62" s="22">
        <v>360</v>
      </c>
      <c r="F62" s="35">
        <f>F61</f>
        <v>154.99</v>
      </c>
      <c r="G62" s="36">
        <f>G61</f>
        <v>149.951741</v>
      </c>
      <c r="H62" s="25">
        <f>H61</f>
        <v>3.2506993999612946E-2</v>
      </c>
      <c r="I62" s="26"/>
      <c r="J62" s="27" t="str">
        <f t="shared" si="3"/>
        <v/>
      </c>
      <c r="K62" s="28" t="str">
        <f t="shared" si="4"/>
        <v/>
      </c>
      <c r="L62" s="20"/>
      <c r="M62" s="21"/>
    </row>
    <row r="63" spans="1:13" ht="19.95" customHeight="1" x14ac:dyDescent="0.25">
      <c r="A63" s="29">
        <v>29</v>
      </c>
      <c r="B63" s="30" t="s">
        <v>50</v>
      </c>
      <c r="C63" s="31" t="s">
        <v>51</v>
      </c>
      <c r="D63" s="30" t="s">
        <v>26</v>
      </c>
      <c r="E63" s="29">
        <v>90</v>
      </c>
      <c r="F63" s="7">
        <v>7.8148</v>
      </c>
      <c r="G63" s="8">
        <v>7.8308679999999997</v>
      </c>
      <c r="H63" s="9">
        <f>IF(OR(ISNUMBER(F63)=FALSE,ISNUMBER(G63)=FALSE),"",(F63-G63)/F63*360/E63)</f>
        <v>-8.2243947381889487E-3</v>
      </c>
      <c r="I63" s="10">
        <v>4.4999999999999998E-2</v>
      </c>
      <c r="J63" s="11">
        <f t="shared" si="3"/>
        <v>3.6700146139610368E-2</v>
      </c>
      <c r="K63" s="12">
        <f t="shared" si="4"/>
        <v>0</v>
      </c>
      <c r="L63" s="32" t="s">
        <v>52</v>
      </c>
      <c r="M63" s="32" t="s">
        <v>28</v>
      </c>
    </row>
    <row r="64" spans="1:13" ht="16.05" customHeight="1" x14ac:dyDescent="0.25">
      <c r="A64" s="14"/>
      <c r="B64" s="15"/>
      <c r="C64" s="15"/>
      <c r="D64" s="16" t="s">
        <v>26</v>
      </c>
      <c r="E64" s="17">
        <v>90</v>
      </c>
      <c r="F64" s="7">
        <f>F63</f>
        <v>7.8148</v>
      </c>
      <c r="G64" s="8">
        <f>G63</f>
        <v>7.8308679999999997</v>
      </c>
      <c r="H64" s="9">
        <f>H63</f>
        <v>-8.2243947381889487E-3</v>
      </c>
      <c r="I64" s="18"/>
      <c r="J64" s="11" t="str">
        <f t="shared" si="3"/>
        <v/>
      </c>
      <c r="K64" s="12" t="str">
        <f t="shared" si="4"/>
        <v/>
      </c>
      <c r="L64" s="15"/>
      <c r="M64" s="16" t="s">
        <v>116</v>
      </c>
    </row>
    <row r="65" spans="1:13" ht="19.95" customHeight="1" x14ac:dyDescent="0.25">
      <c r="A65" s="29">
        <v>30</v>
      </c>
      <c r="B65" s="30"/>
      <c r="C65" s="31"/>
      <c r="D65" s="30" t="s">
        <v>29</v>
      </c>
      <c r="E65" s="29">
        <v>180</v>
      </c>
      <c r="F65" s="7">
        <v>7.8148</v>
      </c>
      <c r="G65" s="8">
        <v>7.8466469999999999</v>
      </c>
      <c r="H65" s="9">
        <f>IF(OR(ISNUMBER(F65)=FALSE,ISNUMBER(G65)=FALSE),"",(F65-G65)/F65*360/E65)</f>
        <v>-8.1504325126682594E-3</v>
      </c>
      <c r="I65" s="10">
        <v>4.4999999999999998E-2</v>
      </c>
      <c r="J65" s="11">
        <f t="shared" si="3"/>
        <v>3.6700007022107517E-2</v>
      </c>
      <c r="K65" s="12">
        <f t="shared" si="4"/>
        <v>0</v>
      </c>
      <c r="L65" s="32"/>
      <c r="M65" s="32"/>
    </row>
    <row r="66" spans="1:13" ht="16.05" customHeight="1" x14ac:dyDescent="0.25">
      <c r="A66" s="14"/>
      <c r="B66" s="15"/>
      <c r="C66" s="15"/>
      <c r="D66" s="16" t="s">
        <v>29</v>
      </c>
      <c r="E66" s="17">
        <v>180</v>
      </c>
      <c r="F66" s="7">
        <f>F65</f>
        <v>7.8148</v>
      </c>
      <c r="G66" s="8">
        <f>G65</f>
        <v>7.8466469999999999</v>
      </c>
      <c r="H66" s="9">
        <f>H65</f>
        <v>-8.1504325126682594E-3</v>
      </c>
      <c r="I66" s="18"/>
      <c r="J66" s="11" t="str">
        <f t="shared" si="3"/>
        <v/>
      </c>
      <c r="K66" s="12" t="str">
        <f t="shared" si="4"/>
        <v/>
      </c>
      <c r="L66" s="15"/>
      <c r="M66" s="16"/>
    </row>
    <row r="67" spans="1:13" ht="19.95" customHeight="1" x14ac:dyDescent="0.25">
      <c r="A67" s="29">
        <v>31</v>
      </c>
      <c r="B67" s="30"/>
      <c r="C67" s="31"/>
      <c r="D67" s="30" t="s">
        <v>30</v>
      </c>
      <c r="E67" s="29">
        <v>270</v>
      </c>
      <c r="F67" s="7">
        <v>7.8148</v>
      </c>
      <c r="G67" s="8">
        <v>7.8621439999999998</v>
      </c>
      <c r="H67" s="9">
        <f>IF(OR(ISNUMBER(F67)=FALSE,ISNUMBER(G67)=FALSE),"",(F67-G67)/F67*360/E67)</f>
        <v>-8.0776646022077472E-3</v>
      </c>
      <c r="I67" s="10">
        <v>4.4999999999999998E-2</v>
      </c>
      <c r="J67" s="11">
        <f t="shared" si="3"/>
        <v>3.6699997693589261E-2</v>
      </c>
      <c r="K67" s="12">
        <f t="shared" si="4"/>
        <v>0</v>
      </c>
      <c r="L67" s="32"/>
      <c r="M67" s="32"/>
    </row>
    <row r="68" spans="1:13" ht="16.05" customHeight="1" x14ac:dyDescent="0.25">
      <c r="A68" s="14"/>
      <c r="B68" s="15"/>
      <c r="C68" s="15"/>
      <c r="D68" s="16" t="s">
        <v>30</v>
      </c>
      <c r="E68" s="17">
        <v>270</v>
      </c>
      <c r="F68" s="7">
        <f>F67</f>
        <v>7.8148</v>
      </c>
      <c r="G68" s="8">
        <f>G67</f>
        <v>7.8621439999999998</v>
      </c>
      <c r="H68" s="9">
        <f>H67</f>
        <v>-8.0776646022077472E-3</v>
      </c>
      <c r="I68" s="18"/>
      <c r="J68" s="11" t="str">
        <f t="shared" si="3"/>
        <v/>
      </c>
      <c r="K68" s="12" t="str">
        <f t="shared" si="4"/>
        <v/>
      </c>
      <c r="L68" s="15"/>
      <c r="M68" s="16"/>
    </row>
    <row r="69" spans="1:13" ht="19.95" customHeight="1" x14ac:dyDescent="0.25">
      <c r="A69" s="29">
        <v>32</v>
      </c>
      <c r="B69" s="30"/>
      <c r="C69" s="31"/>
      <c r="D69" s="30" t="s">
        <v>31</v>
      </c>
      <c r="E69" s="29">
        <v>360</v>
      </c>
      <c r="F69" s="7">
        <v>7.8148</v>
      </c>
      <c r="G69" s="8">
        <v>7.8773669999999996</v>
      </c>
      <c r="H69" s="9">
        <f>IF(OR(ISNUMBER(F69)=FALSE,ISNUMBER(G69)=FALSE),"",(F69-G69)/F69*360/E69)</f>
        <v>-8.0062189691354341E-3</v>
      </c>
      <c r="I69" s="10">
        <v>4.4999999999999998E-2</v>
      </c>
      <c r="J69" s="11">
        <f t="shared" si="3"/>
        <v>3.6699953169631483E-2</v>
      </c>
      <c r="K69" s="12">
        <f t="shared" si="4"/>
        <v>0</v>
      </c>
      <c r="L69" s="32"/>
      <c r="M69" s="32"/>
    </row>
    <row r="70" spans="1:13" ht="16.05" customHeight="1" x14ac:dyDescent="0.25">
      <c r="A70" s="19"/>
      <c r="B70" s="20"/>
      <c r="C70" s="20"/>
      <c r="D70" s="21" t="s">
        <v>31</v>
      </c>
      <c r="E70" s="22">
        <v>360</v>
      </c>
      <c r="F70" s="23">
        <f>F69</f>
        <v>7.8148</v>
      </c>
      <c r="G70" s="24">
        <f>G69</f>
        <v>7.8773669999999996</v>
      </c>
      <c r="H70" s="25">
        <f>H69</f>
        <v>-8.0062189691354341E-3</v>
      </c>
      <c r="I70" s="26"/>
      <c r="J70" s="27" t="str">
        <f t="shared" si="3"/>
        <v/>
      </c>
      <c r="K70" s="28" t="str">
        <f t="shared" si="4"/>
        <v/>
      </c>
      <c r="L70" s="20"/>
      <c r="M70" s="21"/>
    </row>
    <row r="71" spans="1:13" ht="19.95" customHeight="1" x14ac:dyDescent="0.25">
      <c r="A71" s="4">
        <v>33</v>
      </c>
      <c r="B71" s="5" t="s">
        <v>53</v>
      </c>
      <c r="C71" s="6" t="s">
        <v>54</v>
      </c>
      <c r="D71" s="5" t="s">
        <v>26</v>
      </c>
      <c r="E71" s="4">
        <v>90</v>
      </c>
      <c r="F71" s="7">
        <v>1.2667999999999999</v>
      </c>
      <c r="G71" s="8">
        <v>1.265482</v>
      </c>
      <c r="H71" s="9">
        <f>IF(OR(ISNUMBER(F71)=FALSE,ISNUMBER(G71)=FALSE),"",(F71-G71)/F71*360/E71)</f>
        <v>4.1616671929268403E-3</v>
      </c>
      <c r="I71" s="10">
        <v>3.2500000000000001E-2</v>
      </c>
      <c r="J71" s="11">
        <f t="shared" si="3"/>
        <v>3.6699850333706152E-2</v>
      </c>
      <c r="K71" s="12">
        <f t="shared" ref="K71:K78" si="5">IF(J71="","",ROUND((J71-$F$3)*10000,1))</f>
        <v>0</v>
      </c>
      <c r="L71" s="13" t="s">
        <v>55</v>
      </c>
      <c r="M71" s="13" t="s">
        <v>28</v>
      </c>
    </row>
    <row r="72" spans="1:13" ht="16.05" customHeight="1" x14ac:dyDescent="0.25">
      <c r="A72" s="14"/>
      <c r="B72" s="15"/>
      <c r="C72" s="15"/>
      <c r="D72" s="16" t="s">
        <v>26</v>
      </c>
      <c r="E72" s="17">
        <v>90</v>
      </c>
      <c r="F72" s="7">
        <f>F71</f>
        <v>1.2667999999999999</v>
      </c>
      <c r="G72" s="8">
        <f>G71</f>
        <v>1.265482</v>
      </c>
      <c r="H72" s="9">
        <f>H71</f>
        <v>4.1616671929268403E-3</v>
      </c>
      <c r="I72" s="18"/>
      <c r="J72" s="11" t="str">
        <f t="shared" si="3"/>
        <v/>
      </c>
      <c r="K72" s="12" t="str">
        <f t="shared" si="5"/>
        <v/>
      </c>
      <c r="L72" s="15"/>
      <c r="M72" s="16" t="s">
        <v>116</v>
      </c>
    </row>
    <row r="73" spans="1:13" ht="19.95" customHeight="1" x14ac:dyDescent="0.25">
      <c r="A73" s="4">
        <v>34</v>
      </c>
      <c r="B73" s="5"/>
      <c r="C73" s="6"/>
      <c r="D73" s="5" t="s">
        <v>29</v>
      </c>
      <c r="E73" s="4">
        <v>180</v>
      </c>
      <c r="F73" s="7">
        <v>1.2667999999999999</v>
      </c>
      <c r="G73" s="8">
        <v>1.2641880000000001</v>
      </c>
      <c r="H73" s="9">
        <f>IF(OR(ISNUMBER(F73)=FALSE,ISNUMBER(G73)=FALSE),"",(F73-G73)/F73*360/E73)</f>
        <v>4.1237764445845228E-3</v>
      </c>
      <c r="I73" s="10">
        <v>3.2500000000000001E-2</v>
      </c>
      <c r="J73" s="11">
        <f t="shared" si="3"/>
        <v>3.6699446601296426E-2</v>
      </c>
      <c r="K73" s="12">
        <f t="shared" si="5"/>
        <v>0</v>
      </c>
      <c r="L73" s="13"/>
      <c r="M73" s="13"/>
    </row>
    <row r="74" spans="1:13" ht="16.05" customHeight="1" x14ac:dyDescent="0.25">
      <c r="A74" s="14"/>
      <c r="B74" s="15"/>
      <c r="C74" s="15"/>
      <c r="D74" s="16" t="s">
        <v>29</v>
      </c>
      <c r="E74" s="17">
        <v>180</v>
      </c>
      <c r="F74" s="7">
        <f>F73</f>
        <v>1.2667999999999999</v>
      </c>
      <c r="G74" s="8">
        <f>G73</f>
        <v>1.2641880000000001</v>
      </c>
      <c r="H74" s="9">
        <f>H73</f>
        <v>4.1237764445845228E-3</v>
      </c>
      <c r="I74" s="18"/>
      <c r="J74" s="11" t="str">
        <f t="shared" si="3"/>
        <v/>
      </c>
      <c r="K74" s="12" t="str">
        <f t="shared" si="5"/>
        <v/>
      </c>
      <c r="L74" s="15"/>
      <c r="M74" s="16"/>
    </row>
    <row r="75" spans="1:13" ht="19.95" customHeight="1" x14ac:dyDescent="0.25">
      <c r="A75" s="4">
        <v>35</v>
      </c>
      <c r="B75" s="5"/>
      <c r="C75" s="6"/>
      <c r="D75" s="5" t="s">
        <v>30</v>
      </c>
      <c r="E75" s="4">
        <v>270</v>
      </c>
      <c r="F75" s="7">
        <v>1.2667999999999999</v>
      </c>
      <c r="G75" s="8">
        <v>1.2629159999999999</v>
      </c>
      <c r="H75" s="9">
        <f>IF(OR(ISNUMBER(F75)=FALSE,ISNUMBER(G75)=FALSE),"",(F75-G75)/F75*360/E75)</f>
        <v>4.0879907378170701E-3</v>
      </c>
      <c r="I75" s="10">
        <v>3.2500000000000001E-2</v>
      </c>
      <c r="J75" s="11">
        <f t="shared" si="3"/>
        <v>3.6700514259591678E-2</v>
      </c>
      <c r="K75" s="12">
        <f t="shared" si="5"/>
        <v>0</v>
      </c>
      <c r="L75" s="13"/>
      <c r="M75" s="13"/>
    </row>
    <row r="76" spans="1:13" ht="16.05" customHeight="1" x14ac:dyDescent="0.25">
      <c r="A76" s="14"/>
      <c r="B76" s="15"/>
      <c r="C76" s="15"/>
      <c r="D76" s="16" t="s">
        <v>30</v>
      </c>
      <c r="E76" s="17">
        <v>270</v>
      </c>
      <c r="F76" s="7">
        <f>F75</f>
        <v>1.2667999999999999</v>
      </c>
      <c r="G76" s="8">
        <f>G75</f>
        <v>1.2629159999999999</v>
      </c>
      <c r="H76" s="9">
        <f>H75</f>
        <v>4.0879907378170701E-3</v>
      </c>
      <c r="I76" s="18"/>
      <c r="J76" s="11" t="str">
        <f t="shared" si="3"/>
        <v/>
      </c>
      <c r="K76" s="12" t="str">
        <f t="shared" si="5"/>
        <v/>
      </c>
      <c r="L76" s="15"/>
      <c r="M76" s="16"/>
    </row>
    <row r="77" spans="1:13" ht="19.95" customHeight="1" x14ac:dyDescent="0.25">
      <c r="A77" s="4">
        <v>36</v>
      </c>
      <c r="B77" s="5"/>
      <c r="C77" s="6"/>
      <c r="D77" s="5" t="s">
        <v>31</v>
      </c>
      <c r="E77" s="4">
        <v>360</v>
      </c>
      <c r="F77" s="7">
        <v>1.2667999999999999</v>
      </c>
      <c r="G77" s="8">
        <v>1.261668</v>
      </c>
      <c r="H77" s="9">
        <f>IF(OR(ISNUMBER(F77)=FALSE,ISNUMBER(G77)=FALSE),"",(F77-G77)/F77*360/E77)</f>
        <v>4.0511525102620103E-3</v>
      </c>
      <c r="I77" s="10">
        <v>3.2500000000000001E-2</v>
      </c>
      <c r="J77" s="11">
        <f t="shared" si="3"/>
        <v>3.669982911510794E-2</v>
      </c>
      <c r="K77" s="12">
        <f t="shared" si="5"/>
        <v>0</v>
      </c>
      <c r="L77" s="13"/>
      <c r="M77" s="13"/>
    </row>
    <row r="78" spans="1:13" ht="16.05" customHeight="1" x14ac:dyDescent="0.25">
      <c r="A78" s="19"/>
      <c r="B78" s="20"/>
      <c r="C78" s="20"/>
      <c r="D78" s="21" t="s">
        <v>31</v>
      </c>
      <c r="E78" s="22">
        <v>360</v>
      </c>
      <c r="F78" s="23">
        <f>F77</f>
        <v>1.2667999999999999</v>
      </c>
      <c r="G78" s="24">
        <f>G77</f>
        <v>1.261668</v>
      </c>
      <c r="H78" s="25">
        <f>H77</f>
        <v>4.0511525102620103E-3</v>
      </c>
      <c r="I78" s="26"/>
      <c r="J78" s="27" t="str">
        <f t="shared" si="3"/>
        <v/>
      </c>
      <c r="K78" s="28" t="str">
        <f t="shared" si="5"/>
        <v/>
      </c>
      <c r="L78" s="20"/>
      <c r="M78" s="21"/>
    </row>
    <row r="79" spans="1:13" ht="6" customHeight="1" x14ac:dyDescent="0.25"/>
    <row r="80" spans="1:13" ht="22.05" customHeight="1" x14ac:dyDescent="0.25">
      <c r="A80" s="50" t="s">
        <v>56</v>
      </c>
      <c r="B80" s="47"/>
      <c r="C80" s="47"/>
      <c r="D80" s="47"/>
      <c r="E80" s="47"/>
      <c r="F80" s="38">
        <f>IFERROR(MAX(J7,J8,J15,J16,J23,J24,J31,J32,J39,J40,J47,J48,J55,J56,J63,J64,J71,J72),"")</f>
        <v>3.7215384778311211E-2</v>
      </c>
      <c r="G80" s="38">
        <f>IFERROR(MAX(J9,J10,J17,J18,J25,J26,J33,J34,J41,J42,J49,J50,J57,J58,J65,J66,J73,J74),"")</f>
        <v>3.7216614515673374E-2</v>
      </c>
      <c r="H80" s="38">
        <f>IFERROR(MAX(J11,J12,J19,J20,J27,J28,J35,J36,J43,J44,J51,J52,J59,J60,J67,J68,J75,J76),"")</f>
        <v>3.7216014779252404E-2</v>
      </c>
      <c r="I80" s="38">
        <f>IFERROR(MAX(J13,J14,J21,J22,J29,J30,J37,J38,J45,J46,J53,J54,J61,J62,J69,J70,J77,J78),"")</f>
        <v>3.721646286359781E-2</v>
      </c>
      <c r="J80" s="52" t="s">
        <v>57</v>
      </c>
      <c r="K80" s="47"/>
      <c r="L80" s="47"/>
      <c r="M80" s="47"/>
    </row>
  </sheetData>
  <mergeCells count="13">
    <mergeCell ref="A6:C6"/>
    <mergeCell ref="F4:H4"/>
    <mergeCell ref="I3:K3"/>
    <mergeCell ref="A80:E80"/>
    <mergeCell ref="A2:M2"/>
    <mergeCell ref="G3:H3"/>
    <mergeCell ref="J80:M80"/>
    <mergeCell ref="L3:M3"/>
    <mergeCell ref="J4:K4"/>
    <mergeCell ref="A4:E4"/>
    <mergeCell ref="L4:M4"/>
    <mergeCell ref="I4"/>
    <mergeCell ref="A3:D3"/>
  </mergeCells>
  <phoneticPr fontId="23" type="noConversion"/>
  <conditionalFormatting sqref="K7:K78">
    <cfRule type="cellIs" dxfId="1" priority="1" operator="greaterThan">
      <formula>0</formula>
    </cfRule>
    <cfRule type="cellIs" dxfId="0" priority="2" operator="lessThan">
      <formula>0</formula>
    </cfRule>
  </conditionalFormatting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E868C-80CE-423B-ABAB-577A8C96D43C}">
  <dimension ref="A1:H10"/>
  <sheetViews>
    <sheetView zoomScale="205" zoomScaleNormal="205" workbookViewId="0">
      <selection activeCell="D14" sqref="D14"/>
    </sheetView>
  </sheetViews>
  <sheetFormatPr defaultRowHeight="14.4" x14ac:dyDescent="0.25"/>
  <sheetData>
    <row r="1" spans="1:8" ht="28.2" thickBot="1" x14ac:dyDescent="0.3">
      <c r="A1" s="43" t="s">
        <v>118</v>
      </c>
      <c r="B1" s="43" t="s">
        <v>119</v>
      </c>
      <c r="C1" s="43" t="s">
        <v>120</v>
      </c>
      <c r="D1" s="43" t="s">
        <v>24</v>
      </c>
      <c r="E1" s="43" t="s">
        <v>32</v>
      </c>
      <c r="F1" s="43" t="s">
        <v>50</v>
      </c>
      <c r="G1" s="43" t="s">
        <v>35</v>
      </c>
      <c r="H1" s="43" t="s">
        <v>47</v>
      </c>
    </row>
    <row r="2" spans="1:8" ht="28.2" thickBot="1" x14ac:dyDescent="0.3">
      <c r="A2" s="43" t="s">
        <v>121</v>
      </c>
      <c r="B2" s="44">
        <v>3.5700000000000003E-2</v>
      </c>
      <c r="C2" s="44">
        <v>1.0999999999999999E-2</v>
      </c>
      <c r="D2" s="44">
        <v>1.72E-2</v>
      </c>
      <c r="E2" s="44">
        <v>3.4500000000000003E-2</v>
      </c>
      <c r="F2" s="44">
        <v>0.02</v>
      </c>
      <c r="G2" s="44">
        <v>3.5499999999999997E-2</v>
      </c>
      <c r="H2" s="44">
        <v>1E-3</v>
      </c>
    </row>
    <row r="3" spans="1:8" ht="15" thickBot="1" x14ac:dyDescent="0.3">
      <c r="A3" s="43" t="s">
        <v>122</v>
      </c>
      <c r="B3" s="44">
        <v>3.6499999999999998E-2</v>
      </c>
      <c r="C3" s="44">
        <v>1.2E-2</v>
      </c>
      <c r="D3" s="44">
        <v>1.7299999999999999E-2</v>
      </c>
      <c r="E3" s="44">
        <v>3.5000000000000003E-2</v>
      </c>
      <c r="F3" s="44">
        <v>2.0500000000000001E-2</v>
      </c>
      <c r="G3" s="44">
        <v>3.5999999999999997E-2</v>
      </c>
      <c r="H3" s="44">
        <v>1.5E-3</v>
      </c>
    </row>
    <row r="4" spans="1:8" ht="15" thickBot="1" x14ac:dyDescent="0.3">
      <c r="A4" s="43" t="s">
        <v>123</v>
      </c>
      <c r="B4" s="44">
        <v>3.6499999999999998E-2</v>
      </c>
      <c r="C4" s="44">
        <v>1.2500000000000001E-2</v>
      </c>
      <c r="D4" s="44">
        <v>1.7500000000000002E-2</v>
      </c>
      <c r="E4" s="44">
        <v>3.5499999999999997E-2</v>
      </c>
      <c r="F4" s="44">
        <v>2.0500000000000001E-2</v>
      </c>
      <c r="G4" s="44">
        <v>3.6200000000000003E-2</v>
      </c>
      <c r="H4" s="44">
        <v>1E-3</v>
      </c>
    </row>
    <row r="5" spans="1:8" ht="15" thickBot="1" x14ac:dyDescent="0.3">
      <c r="A5" s="43" t="s">
        <v>124</v>
      </c>
      <c r="B5" s="44">
        <v>3.6499999999999998E-2</v>
      </c>
      <c r="C5" s="44">
        <v>1.2999999999999999E-2</v>
      </c>
      <c r="D5" s="44">
        <v>1.7999999999999999E-2</v>
      </c>
      <c r="E5" s="44">
        <v>3.5799999999999998E-2</v>
      </c>
      <c r="F5" s="44">
        <v>2.1000000000000001E-2</v>
      </c>
      <c r="G5" s="44">
        <v>3.6600000000000001E-2</v>
      </c>
      <c r="H5" s="44">
        <v>1E-3</v>
      </c>
    </row>
    <row r="6" spans="1:8" ht="15" thickBot="1" x14ac:dyDescent="0.3">
      <c r="A6" s="43" t="s">
        <v>125</v>
      </c>
      <c r="B6" s="44">
        <v>3.6499999999999998E-2</v>
      </c>
      <c r="C6" s="44">
        <v>1.2999999999999999E-2</v>
      </c>
      <c r="D6" s="44">
        <v>1.8599999999999998E-2</v>
      </c>
      <c r="E6" s="44">
        <v>3.5700000000000003E-2</v>
      </c>
      <c r="F6" s="44">
        <v>2.1999999999999999E-2</v>
      </c>
      <c r="G6" s="44">
        <v>3.7600000000000001E-2</v>
      </c>
      <c r="H6" s="44">
        <v>1E-3</v>
      </c>
    </row>
    <row r="7" spans="1:8" ht="15" thickBot="1" x14ac:dyDescent="0.3">
      <c r="A7" s="43" t="s">
        <v>126</v>
      </c>
      <c r="B7" s="44">
        <v>3.6799999999999999E-2</v>
      </c>
      <c r="C7" s="44">
        <v>1.4E-2</v>
      </c>
      <c r="D7" s="44">
        <v>1.8700000000000001E-2</v>
      </c>
      <c r="E7" s="44">
        <v>3.5499999999999997E-2</v>
      </c>
      <c r="F7" s="44">
        <v>2.2499999999999999E-2</v>
      </c>
      <c r="G7" s="44">
        <v>3.8300000000000001E-2</v>
      </c>
      <c r="H7" s="44">
        <v>1.5E-3</v>
      </c>
    </row>
    <row r="8" spans="1:8" ht="15" thickBot="1" x14ac:dyDescent="0.3">
      <c r="A8" s="43" t="s">
        <v>127</v>
      </c>
      <c r="B8" s="44">
        <v>3.6499999999999998E-2</v>
      </c>
      <c r="C8" s="44">
        <v>1.4500000000000001E-2</v>
      </c>
      <c r="D8" s="44">
        <v>1.9E-2</v>
      </c>
      <c r="E8" s="44">
        <v>3.5499999999999997E-2</v>
      </c>
      <c r="F8" s="44">
        <v>2.4E-2</v>
      </c>
      <c r="G8" s="44">
        <v>3.9899999999999998E-2</v>
      </c>
      <c r="H8" s="44">
        <v>3.0000000000000001E-3</v>
      </c>
    </row>
    <row r="9" spans="1:8" ht="15" thickBot="1" x14ac:dyDescent="0.3">
      <c r="A9" s="43" t="s">
        <v>128</v>
      </c>
      <c r="B9" s="44">
        <v>3.6200000000000003E-2</v>
      </c>
      <c r="C9" s="44">
        <v>1.4999999999999999E-2</v>
      </c>
      <c r="D9" s="44">
        <v>1.95E-2</v>
      </c>
      <c r="E9" s="44">
        <v>3.5499999999999997E-2</v>
      </c>
      <c r="F9" s="44">
        <v>2.4500000000000001E-2</v>
      </c>
      <c r="G9" s="44">
        <v>4.1799999999999997E-2</v>
      </c>
      <c r="H9" s="44">
        <v>4.0000000000000001E-3</v>
      </c>
    </row>
    <row r="10" spans="1:8" ht="15" thickBot="1" x14ac:dyDescent="0.3">
      <c r="A10" s="43" t="s">
        <v>129</v>
      </c>
      <c r="B10" s="44">
        <v>3.5999999999999997E-2</v>
      </c>
      <c r="C10" s="44">
        <v>1.4999999999999999E-2</v>
      </c>
      <c r="D10" s="44">
        <v>1.9800000000000002E-2</v>
      </c>
      <c r="E10" s="44">
        <v>3.5499999999999997E-2</v>
      </c>
      <c r="F10" s="44">
        <v>2.52E-2</v>
      </c>
      <c r="G10" s="44">
        <v>4.2799999999999998E-2</v>
      </c>
      <c r="H10" s="44">
        <v>5.0000000000000001E-3</v>
      </c>
    </row>
  </sheetData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FA3"/>
  </sheetPr>
  <dimension ref="B1:G23"/>
  <sheetViews>
    <sheetView showGridLines="0" workbookViewId="0"/>
  </sheetViews>
  <sheetFormatPr defaultRowHeight="14.4" x14ac:dyDescent="0.25"/>
  <cols>
    <col min="1" max="1" width="3" customWidth="1"/>
    <col min="2" max="2" width="16" customWidth="1"/>
    <col min="3" max="4" width="14" customWidth="1"/>
    <col min="5" max="5" width="12" customWidth="1"/>
    <col min="6" max="6" width="28" customWidth="1"/>
  </cols>
  <sheetData>
    <row r="1" spans="2:7" ht="25.95" customHeight="1" x14ac:dyDescent="0.25">
      <c r="B1" s="56" t="s">
        <v>58</v>
      </c>
      <c r="C1" s="47"/>
      <c r="D1" s="47"/>
      <c r="E1" s="47"/>
      <c r="F1" s="47"/>
    </row>
    <row r="2" spans="2:7" x14ac:dyDescent="0.25">
      <c r="B2" s="37" t="s">
        <v>59</v>
      </c>
      <c r="C2" s="37" t="s">
        <v>11</v>
      </c>
      <c r="D2" s="37" t="s">
        <v>60</v>
      </c>
      <c r="E2" s="37" t="s">
        <v>61</v>
      </c>
      <c r="F2" s="37" t="s">
        <v>62</v>
      </c>
      <c r="G2" s="37" t="s">
        <v>63</v>
      </c>
    </row>
    <row r="3" spans="2:7" ht="16.95" customHeight="1" x14ac:dyDescent="0.25">
      <c r="B3" s="39" t="s">
        <v>64</v>
      </c>
      <c r="C3" s="39" t="s">
        <v>65</v>
      </c>
      <c r="D3" s="39" t="s">
        <v>66</v>
      </c>
      <c r="E3" s="39" t="s">
        <v>67</v>
      </c>
      <c r="F3" s="40" t="s">
        <v>68</v>
      </c>
      <c r="G3" s="39" t="s">
        <v>69</v>
      </c>
    </row>
    <row r="4" spans="2:7" ht="16.95" customHeight="1" x14ac:dyDescent="0.25">
      <c r="B4" s="41" t="s">
        <v>70</v>
      </c>
      <c r="C4" s="41" t="s">
        <v>25</v>
      </c>
      <c r="D4" s="41" t="s">
        <v>71</v>
      </c>
      <c r="E4" s="41" t="s">
        <v>72</v>
      </c>
      <c r="F4" s="40" t="s">
        <v>68</v>
      </c>
      <c r="G4" s="41" t="s">
        <v>73</v>
      </c>
    </row>
    <row r="5" spans="2:7" ht="16.95" customHeight="1" x14ac:dyDescent="0.25">
      <c r="B5" s="39" t="s">
        <v>74</v>
      </c>
      <c r="C5" s="39" t="s">
        <v>24</v>
      </c>
      <c r="D5" s="39" t="s">
        <v>75</v>
      </c>
      <c r="E5" s="39" t="s">
        <v>76</v>
      </c>
      <c r="F5" s="40" t="s">
        <v>68</v>
      </c>
      <c r="G5" s="39" t="s">
        <v>77</v>
      </c>
    </row>
    <row r="6" spans="2:7" ht="16.95" customHeight="1" x14ac:dyDescent="0.25">
      <c r="B6" s="41" t="s">
        <v>70</v>
      </c>
      <c r="C6" s="41" t="s">
        <v>33</v>
      </c>
      <c r="D6" s="41" t="s">
        <v>78</v>
      </c>
      <c r="E6" s="41" t="s">
        <v>72</v>
      </c>
      <c r="F6" s="40" t="s">
        <v>68</v>
      </c>
      <c r="G6" s="41" t="s">
        <v>79</v>
      </c>
    </row>
    <row r="7" spans="2:7" ht="16.95" customHeight="1" x14ac:dyDescent="0.25">
      <c r="B7" s="39" t="s">
        <v>74</v>
      </c>
      <c r="C7" s="39" t="s">
        <v>32</v>
      </c>
      <c r="D7" s="39" t="s">
        <v>80</v>
      </c>
      <c r="E7" s="39" t="s">
        <v>81</v>
      </c>
      <c r="F7" s="40" t="s">
        <v>68</v>
      </c>
      <c r="G7" s="39" t="s">
        <v>82</v>
      </c>
    </row>
    <row r="8" spans="2:7" ht="16.95" customHeight="1" x14ac:dyDescent="0.25">
      <c r="B8" s="41" t="s">
        <v>70</v>
      </c>
      <c r="C8" s="41" t="s">
        <v>36</v>
      </c>
      <c r="D8" s="41" t="s">
        <v>83</v>
      </c>
      <c r="E8" s="41" t="s">
        <v>72</v>
      </c>
      <c r="F8" s="40" t="s">
        <v>68</v>
      </c>
      <c r="G8" s="41" t="s">
        <v>84</v>
      </c>
    </row>
    <row r="9" spans="2:7" ht="16.95" customHeight="1" x14ac:dyDescent="0.25">
      <c r="B9" s="39" t="s">
        <v>74</v>
      </c>
      <c r="C9" s="39" t="s">
        <v>35</v>
      </c>
      <c r="D9" s="39" t="s">
        <v>85</v>
      </c>
      <c r="E9" s="39" t="s">
        <v>86</v>
      </c>
      <c r="F9" s="40" t="s">
        <v>68</v>
      </c>
      <c r="G9" s="39" t="s">
        <v>87</v>
      </c>
    </row>
    <row r="10" spans="2:7" ht="16.95" customHeight="1" x14ac:dyDescent="0.25">
      <c r="B10" s="41" t="s">
        <v>70</v>
      </c>
      <c r="C10" s="41" t="s">
        <v>39</v>
      </c>
      <c r="D10" s="41" t="s">
        <v>88</v>
      </c>
      <c r="E10" s="41" t="s">
        <v>72</v>
      </c>
      <c r="F10" s="40" t="s">
        <v>68</v>
      </c>
      <c r="G10" s="41" t="s">
        <v>89</v>
      </c>
    </row>
    <row r="11" spans="2:7" ht="16.95" customHeight="1" x14ac:dyDescent="0.25">
      <c r="B11" s="39" t="s">
        <v>74</v>
      </c>
      <c r="C11" s="39" t="s">
        <v>38</v>
      </c>
      <c r="D11" s="39" t="s">
        <v>90</v>
      </c>
      <c r="E11" s="39" t="s">
        <v>86</v>
      </c>
      <c r="F11" s="40" t="s">
        <v>68</v>
      </c>
      <c r="G11" s="39" t="s">
        <v>91</v>
      </c>
    </row>
    <row r="12" spans="2:7" ht="16.95" customHeight="1" x14ac:dyDescent="0.25">
      <c r="B12" s="41" t="s">
        <v>70</v>
      </c>
      <c r="C12" s="41" t="s">
        <v>42</v>
      </c>
      <c r="D12" s="41" t="s">
        <v>92</v>
      </c>
      <c r="E12" s="41" t="s">
        <v>72</v>
      </c>
      <c r="F12" s="40" t="s">
        <v>68</v>
      </c>
      <c r="G12" s="41" t="s">
        <v>93</v>
      </c>
    </row>
    <row r="13" spans="2:7" ht="16.95" customHeight="1" x14ac:dyDescent="0.25">
      <c r="B13" s="39" t="s">
        <v>74</v>
      </c>
      <c r="C13" s="39" t="s">
        <v>41</v>
      </c>
      <c r="D13" s="39" t="s">
        <v>94</v>
      </c>
      <c r="E13" s="39" t="s">
        <v>86</v>
      </c>
      <c r="F13" s="40" t="s">
        <v>68</v>
      </c>
      <c r="G13" s="39" t="s">
        <v>95</v>
      </c>
    </row>
    <row r="14" spans="2:7" ht="16.95" customHeight="1" x14ac:dyDescent="0.25">
      <c r="B14" s="41" t="s">
        <v>70</v>
      </c>
      <c r="C14" s="41" t="s">
        <v>45</v>
      </c>
      <c r="D14" s="41" t="s">
        <v>96</v>
      </c>
      <c r="E14" s="41" t="s">
        <v>72</v>
      </c>
      <c r="F14" s="40" t="s">
        <v>68</v>
      </c>
      <c r="G14" s="41" t="s">
        <v>97</v>
      </c>
    </row>
    <row r="15" spans="2:7" ht="16.95" customHeight="1" x14ac:dyDescent="0.25">
      <c r="B15" s="39" t="s">
        <v>74</v>
      </c>
      <c r="C15" s="39" t="s">
        <v>44</v>
      </c>
      <c r="D15" s="39" t="s">
        <v>98</v>
      </c>
      <c r="E15" s="39" t="s">
        <v>86</v>
      </c>
      <c r="F15" s="40" t="s">
        <v>68</v>
      </c>
      <c r="G15" s="39" t="s">
        <v>99</v>
      </c>
    </row>
    <row r="16" spans="2:7" ht="16.95" customHeight="1" x14ac:dyDescent="0.25">
      <c r="B16" s="41" t="s">
        <v>70</v>
      </c>
      <c r="C16" s="41" t="s">
        <v>48</v>
      </c>
      <c r="D16" s="41" t="s">
        <v>100</v>
      </c>
      <c r="E16" s="41" t="s">
        <v>72</v>
      </c>
      <c r="F16" s="40" t="s">
        <v>68</v>
      </c>
      <c r="G16" s="41" t="s">
        <v>101</v>
      </c>
    </row>
    <row r="17" spans="2:7" ht="16.95" customHeight="1" x14ac:dyDescent="0.25">
      <c r="B17" s="39" t="s">
        <v>74</v>
      </c>
      <c r="C17" s="39" t="s">
        <v>47</v>
      </c>
      <c r="D17" s="39" t="s">
        <v>102</v>
      </c>
      <c r="E17" s="39" t="s">
        <v>103</v>
      </c>
      <c r="F17" s="40" t="s">
        <v>68</v>
      </c>
      <c r="G17" s="39" t="s">
        <v>104</v>
      </c>
    </row>
    <row r="18" spans="2:7" ht="16.95" customHeight="1" x14ac:dyDescent="0.25">
      <c r="B18" s="41" t="s">
        <v>70</v>
      </c>
      <c r="C18" s="41" t="s">
        <v>51</v>
      </c>
      <c r="D18" s="41" t="s">
        <v>105</v>
      </c>
      <c r="E18" s="41" t="s">
        <v>72</v>
      </c>
      <c r="F18" s="40" t="s">
        <v>68</v>
      </c>
      <c r="G18" s="41" t="s">
        <v>106</v>
      </c>
    </row>
    <row r="19" spans="2:7" ht="16.95" customHeight="1" x14ac:dyDescent="0.25">
      <c r="B19" s="39" t="s">
        <v>74</v>
      </c>
      <c r="C19" s="39" t="s">
        <v>50</v>
      </c>
      <c r="D19" s="39" t="s">
        <v>107</v>
      </c>
      <c r="E19" s="39" t="s">
        <v>108</v>
      </c>
      <c r="F19" s="40" t="s">
        <v>68</v>
      </c>
      <c r="G19" s="39" t="s">
        <v>109</v>
      </c>
    </row>
    <row r="20" spans="2:7" ht="16.95" customHeight="1" x14ac:dyDescent="0.25">
      <c r="B20" s="41" t="s">
        <v>70</v>
      </c>
      <c r="C20" s="41" t="s">
        <v>54</v>
      </c>
      <c r="D20" s="41" t="s">
        <v>110</v>
      </c>
      <c r="E20" s="41" t="s">
        <v>72</v>
      </c>
      <c r="F20" s="40" t="s">
        <v>68</v>
      </c>
      <c r="G20" s="41" t="s">
        <v>111</v>
      </c>
    </row>
    <row r="21" spans="2:7" ht="16.95" customHeight="1" x14ac:dyDescent="0.25">
      <c r="B21" s="39" t="s">
        <v>74</v>
      </c>
      <c r="C21" s="39" t="s">
        <v>53</v>
      </c>
      <c r="D21" s="39" t="s">
        <v>112</v>
      </c>
      <c r="E21" s="39" t="s">
        <v>113</v>
      </c>
      <c r="F21" s="40" t="s">
        <v>68</v>
      </c>
      <c r="G21" s="39" t="s">
        <v>114</v>
      </c>
    </row>
    <row r="23" spans="2:7" x14ac:dyDescent="0.25">
      <c r="B23" s="55" t="s">
        <v>115</v>
      </c>
      <c r="C23" s="47"/>
      <c r="D23" s="47"/>
      <c r="E23" s="47"/>
      <c r="F23" s="47"/>
    </row>
  </sheetData>
  <mergeCells count="2">
    <mergeCell ref="B23:F23"/>
    <mergeCell ref="B1:F1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监控主表</vt:lpstr>
      <vt:lpstr>多哈报价</vt:lpstr>
      <vt:lpstr>数据来源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Binjie Ni</cp:lastModifiedBy>
  <dcterms:created xsi:type="dcterms:W3CDTF">2026-02-26T09:07:49Z</dcterms:created>
  <dcterms:modified xsi:type="dcterms:W3CDTF">2026-02-27T09:20:26Z</dcterms:modified>
</cp:coreProperties>
</file>